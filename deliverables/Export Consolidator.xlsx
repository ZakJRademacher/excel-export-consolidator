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kjr\OneDrive\Data Analytics Projects\01 Portfolio Projects\excel-export-consolidator\deliverables\"/>
    </mc:Choice>
  </mc:AlternateContent>
  <xr:revisionPtr revIDLastSave="0" documentId="13_ncr:1_{76D03556-ED5F-45FA-8617-E2FB8EF2DEE9}" xr6:coauthVersionLast="47" xr6:coauthVersionMax="47" xr10:uidLastSave="{00000000-0000-0000-0000-000000000000}"/>
  <bookViews>
    <workbookView xWindow="1560" yWindow="1560" windowWidth="57600" windowHeight="15345" xr2:uid="{00000000-000D-0000-FFFF-FFFF00000000}"/>
  </bookViews>
  <sheets>
    <sheet name="Summary" sheetId="1" r:id="rId1"/>
    <sheet name="Start here" sheetId="2" r:id="rId2"/>
    <sheet name="Clean master" sheetId="3" r:id="rId3"/>
    <sheet name="Needs review" sheetId="4" r:id="rId4"/>
    <sheet name="Import history" sheetId="5" r:id="rId5"/>
    <sheet name="Query source" sheetId="6" r:id="rId6"/>
  </sheets>
  <definedNames>
    <definedName name="ExternalData_1" localSheetId="2" hidden="1">'Clean master'!$A$6:$J$297</definedName>
    <definedName name="ExternalData_1" localSheetId="4" hidden="1">'Import history'!$A$6:$H$11</definedName>
    <definedName name="ExternalData_1" localSheetId="3" hidden="1">'Needs review'!$A$6:$I$24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5" i="1"/>
  <c r="C8" i="1"/>
  <c r="C9" i="1"/>
  <c r="C11" i="1"/>
  <c r="C12" i="1"/>
  <c r="C13" i="1"/>
  <c r="C18" i="1" s="1"/>
  <c r="C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4A1B26-72F8-4248-A1D0-EC12BED6B8EB}" keepAlive="1" name="Query - CleanMaster" description="Connection to the 'CleanMaster' query in the workbook." type="5" refreshedVersion="8" background="1" saveData="1">
    <dbPr connection="Provider=Microsoft.Mashup.OleDb.1;Data Source=$Workbook$;Location=CleanMaster;Extended Properties=&quot;&quot;" command="SELECT * FROM [CleanMaster]"/>
  </connection>
  <connection id="2" xr16:uid="{54BEF6AF-5325-4A78-AC4A-9A7950CED504}" keepAlive="1" name="Query - Consolidation" description="Connection to the 'Consolidation' query in the workbook." type="5" refreshedVersion="0" background="1">
    <dbPr connection="Provider=Microsoft.Mashup.OleDb.1;Data Source=$Workbook$;Location=Consolidation;Extended Properties=&quot;&quot;" command="SELECT * FROM [Consolidation]"/>
  </connection>
  <connection id="3" xr16:uid="{A9A44E64-7E9F-40B0-95D6-35F897033FE2}" keepAlive="1" name="Query - ImportHistory" description="Connection to the 'ImportHistory' query in the workbook." type="5" refreshedVersion="8" background="1" saveData="1">
    <dbPr connection="Provider=Microsoft.Mashup.OleDb.1;Data Source=$Workbook$;Location=ImportHistory;Extended Properties=&quot;&quot;" command="SELECT * FROM [ImportHistory]"/>
  </connection>
  <connection id="4" xr16:uid="{E64AEB82-EC78-473D-A31A-A46F8FC657DB}" keepAlive="1" name="Query - NeedsReview" description="Connection to the 'NeedsReview' query in the workbook." type="5" refreshedVersion="8" background="1" saveData="1">
    <dbPr connection="Provider=Microsoft.Mashup.OleDb.1;Data Source=$Workbook$;Location=NeedsReview;Extended Properties=&quot;&quot;" command="SELECT * FROM [NeedsReview]"/>
  </connection>
</connections>
</file>

<file path=xl/sharedStrings.xml><?xml version="1.0" encoding="utf-8"?>
<sst xmlns="http://schemas.openxmlformats.org/spreadsheetml/2006/main" count="2058" uniqueCount="906">
  <si>
    <t>Export consolidation</t>
  </si>
  <si>
    <t>Last loaded</t>
  </si>
  <si>
    <t>Import result</t>
  </si>
  <si>
    <t>Count</t>
  </si>
  <si>
    <t>Files loaded</t>
  </si>
  <si>
    <t>Each CSV has one import-history row.</t>
  </si>
  <si>
    <t>Rows parsed</t>
  </si>
  <si>
    <t>File issues have unknown counts. Review them separately.</t>
  </si>
  <si>
    <t>Clean master rows</t>
  </si>
  <si>
    <t>Unique accepted records, available on Clean master.</t>
  </si>
  <si>
    <t>Rows needing correction</t>
  </si>
  <si>
    <t>Correct the source records listed in Needs review.</t>
  </si>
  <si>
    <t>Identical repeats skipped</t>
  </si>
  <si>
    <t>Identical records were counted once in the master.</t>
  </si>
  <si>
    <t>Files needing correction</t>
  </si>
  <si>
    <t>Fix the file format or mapping before using a complete total.</t>
  </si>
  <si>
    <t>Accepted sales (source units)</t>
  </si>
  <si>
    <t>Next action</t>
  </si>
  <si>
    <t>How to read this result</t>
  </si>
  <si>
    <t>Start with rows needing correction and files needing correction.</t>
  </si>
  <si>
    <t>Use Clean master for the accepted records. Needs review explains excluded records.</t>
  </si>
  <si>
    <t>Open Start here to set the folder, check mappings, and refresh.</t>
  </si>
  <si>
    <t>A failed refresh can leave old results visible. Check Excel query errors and Last loaded.</t>
  </si>
  <si>
    <t>This sample contains deliberately seeded issues. Details are in docs/SAMPLE.md.</t>
  </si>
  <si>
    <t>Start here</t>
  </si>
  <si>
    <t>1. Set the source folder below. Retain every CSV that belongs in the current master.</t>
  </si>
  <si>
    <t>Folder</t>
  </si>
  <si>
    <t>C:\Users\zakjr\OneDrive\Data Analytics Projects\01 Portfolio Projects\excel-export-consolidator\data\incoming</t>
  </si>
  <si>
    <t>2. Select Data &gt; Refresh All. Wait for all queries to finish without errors.</t>
  </si>
  <si>
    <t>3. Check Summary, correct source errors listed in Needs review, then refresh again.</t>
  </si>
  <si>
    <t>Generated output tables are replaced on refresh. Make corrections in the source CSVs.</t>
  </si>
  <si>
    <t>Recognized column names</t>
  </si>
  <si>
    <t>File parsing profiles</t>
  </si>
  <si>
    <t>Alias</t>
  </si>
  <si>
    <t>Canonical</t>
  </si>
  <si>
    <t>Prefix</t>
  </si>
  <si>
    <t>Delimiter</t>
  </si>
  <si>
    <t>DateFormat</t>
  </si>
  <si>
    <t>Culture</t>
  </si>
  <si>
    <t>RowID</t>
  </si>
  <si>
    <t>batch_a_</t>
  </si>
  <si>
    <t>,</t>
  </si>
  <si>
    <t>yyyy-MM-dd</t>
  </si>
  <si>
    <t>en-US</t>
  </si>
  <si>
    <t>OrderID</t>
  </si>
  <si>
    <t>batch_b_</t>
  </si>
  <si>
    <t>MM/dd/yyyy</t>
  </si>
  <si>
    <t>OrderDate</t>
  </si>
  <si>
    <t>batch_c_</t>
  </si>
  <si>
    <t>;</t>
  </si>
  <si>
    <t>dd/MM/yyyy</t>
  </si>
  <si>
    <t>ShipDate</t>
  </si>
  <si>
    <t>batch_d_</t>
  </si>
  <si>
    <t>Category</t>
  </si>
  <si>
    <t>batch_e_</t>
  </si>
  <si>
    <t>Region</t>
  </si>
  <si>
    <t>ProductID</t>
  </si>
  <si>
    <t>Sales</t>
  </si>
  <si>
    <t>Source: Kaggle Superstore Sales Dataset, Rohit Sahoo (GPL 2 label).</t>
  </si>
  <si>
    <t>Line ID</t>
  </si>
  <si>
    <t>Order Ref</t>
  </si>
  <si>
    <t>https://www.kaggle.com/datasets/rohitsahoo/sales-forecasting</t>
  </si>
  <si>
    <t>Placed On</t>
  </si>
  <si>
    <t>Shipped On</t>
  </si>
  <si>
    <t>Historical source values with disclosed format variations and seeded defects.</t>
  </si>
  <si>
    <t>Product Group</t>
  </si>
  <si>
    <t>Sales Region</t>
  </si>
  <si>
    <t>Amounts use source monetary units. Up to four decimal places are retained.</t>
  </si>
  <si>
    <t>SKU</t>
  </si>
  <si>
    <t>Sales Amount</t>
  </si>
  <si>
    <t>No fuzzy matching. Conflicting RowIDs quarantine every copy.</t>
  </si>
  <si>
    <t>record_id</t>
  </si>
  <si>
    <t>order</t>
  </si>
  <si>
    <t>Close CSV files before refresh. Do not change source files during a refresh.</t>
  </si>
  <si>
    <t>order_dt</t>
  </si>
  <si>
    <t>ship_dt</t>
  </si>
  <si>
    <t>dept</t>
  </si>
  <si>
    <t>territory</t>
  </si>
  <si>
    <t>item_code</t>
  </si>
  <si>
    <t>amount</t>
  </si>
  <si>
    <t>Clean master</t>
  </si>
  <si>
    <t>Accepted records only. RowID is unique; source row means logical CSV record, with the header counted as 1.</t>
  </si>
  <si>
    <t>SourceFile</t>
  </si>
  <si>
    <t>SourceRow</t>
  </si>
  <si>
    <t>76</t>
  </si>
  <si>
    <t>US-2018-118038</t>
  </si>
  <si>
    <t>Office Supplies</t>
  </si>
  <si>
    <t>Central</t>
  </si>
  <si>
    <t>OFF-BI-10004182</t>
  </si>
  <si>
    <t>batch_a_2018-12.csv</t>
  </si>
  <si>
    <t>77</t>
  </si>
  <si>
    <t>Furniture</t>
  </si>
  <si>
    <t>FUR-FU-10000260</t>
  </si>
  <si>
    <t>78</t>
  </si>
  <si>
    <t>OFF-ST-10000615</t>
  </si>
  <si>
    <t>111</t>
  </si>
  <si>
    <t>CA-2018-146780</t>
  </si>
  <si>
    <t>East</t>
  </si>
  <si>
    <t>FUR-FU-10001934</t>
  </si>
  <si>
    <t>145</t>
  </si>
  <si>
    <t>CA-2018-155376</t>
  </si>
  <si>
    <t>OFF-AP-10001058</t>
  </si>
  <si>
    <t>204</t>
  </si>
  <si>
    <t>US-2018-116701</t>
  </si>
  <si>
    <t>OFF-AP-10003217</t>
  </si>
  <si>
    <t>206</t>
  </si>
  <si>
    <t>CA-2018-108329</t>
  </si>
  <si>
    <t>Technology</t>
  </si>
  <si>
    <t>West</t>
  </si>
  <si>
    <t>TEC-PH-10001918</t>
  </si>
  <si>
    <t>207</t>
  </si>
  <si>
    <t>CA-2018-135860</t>
  </si>
  <si>
    <t>OFF-ST-10000642</t>
  </si>
  <si>
    <t>208</t>
  </si>
  <si>
    <t>TEC-PH-10001700</t>
  </si>
  <si>
    <t>209</t>
  </si>
  <si>
    <t>OFF-BI-10003274</t>
  </si>
  <si>
    <t>211</t>
  </si>
  <si>
    <t>OFF-ST-10001522</t>
  </si>
  <si>
    <t>259</t>
  </si>
  <si>
    <t>CA-2018-163139</t>
  </si>
  <si>
    <t>TEC-AC-10000290</t>
  </si>
  <si>
    <t>260</t>
  </si>
  <si>
    <t>OFF-ST-10002790</t>
  </si>
  <si>
    <t>261</t>
  </si>
  <si>
    <t>OFF-BI-10003460</t>
  </si>
  <si>
    <t>269</t>
  </si>
  <si>
    <t>US-2018-145366</t>
  </si>
  <si>
    <t>OFF-ST-10004180</t>
  </si>
  <si>
    <t>270</t>
  </si>
  <si>
    <t>OFF-EN-10004386</t>
  </si>
  <si>
    <t>271</t>
  </si>
  <si>
    <t>CA-2018-163979</t>
  </si>
  <si>
    <t>OFF-ST-10003208</t>
  </si>
  <si>
    <t>390</t>
  </si>
  <si>
    <t>CA-2018-101798</t>
  </si>
  <si>
    <t>OFF-BI-10000050</t>
  </si>
  <si>
    <t>391</t>
  </si>
  <si>
    <t>TEC-AC-10001998</t>
  </si>
  <si>
    <t>413</t>
  </si>
  <si>
    <t>CA-2018-117457</t>
  </si>
  <si>
    <t>FUR-BO-10001972</t>
  </si>
  <si>
    <t>414</t>
  </si>
  <si>
    <t>FUR-CH-10003956</t>
  </si>
  <si>
    <t>514</t>
  </si>
  <si>
    <t>CA-2018-163405</t>
  </si>
  <si>
    <t>OFF-AR-10003811</t>
  </si>
  <si>
    <t>515</t>
  </si>
  <si>
    <t>OFF-AR-10001246</t>
  </si>
  <si>
    <t>566</t>
  </si>
  <si>
    <t>CA-2018-137099</t>
  </si>
  <si>
    <t>TEC-PH-10002496</t>
  </si>
  <si>
    <t>571</t>
  </si>
  <si>
    <t>CA-2018-164826</t>
  </si>
  <si>
    <t>OFF-LA-10001297</t>
  </si>
  <si>
    <t>572</t>
  </si>
  <si>
    <t>OFF-FA-10000585</t>
  </si>
  <si>
    <t>573</t>
  </si>
  <si>
    <t>OFF-BI-10001922</t>
  </si>
  <si>
    <t>574</t>
  </si>
  <si>
    <t>TEC-PH-10000347</t>
  </si>
  <si>
    <t>582</t>
  </si>
  <si>
    <t>CA-2018-145233</t>
  </si>
  <si>
    <t>TEC-PH-10004977</t>
  </si>
  <si>
    <t>583</t>
  </si>
  <si>
    <t>TEC-PH-10000586</t>
  </si>
  <si>
    <t>584</t>
  </si>
  <si>
    <t>OFF-AP-10000358</t>
  </si>
  <si>
    <t>585</t>
  </si>
  <si>
    <t>OFF-BI-10002764</t>
  </si>
  <si>
    <t>586</t>
  </si>
  <si>
    <t>TEC-PH-10001254</t>
  </si>
  <si>
    <t>629</t>
  </si>
  <si>
    <t>CA-2018-133431</t>
  </si>
  <si>
    <t>OFF-BI-10000605</t>
  </si>
  <si>
    <t>630</t>
  </si>
  <si>
    <t>OFF-PA-10002615</t>
  </si>
  <si>
    <t>646</t>
  </si>
  <si>
    <t>CA-2018-126221</t>
  </si>
  <si>
    <t>OFF-AP-10002457</t>
  </si>
  <si>
    <t>674</t>
  </si>
  <si>
    <t>CA-2018-130351</t>
  </si>
  <si>
    <t>OFF-AP-10004532</t>
  </si>
  <si>
    <t>675</t>
  </si>
  <si>
    <t>OFF-PA-10002137</t>
  </si>
  <si>
    <t>676</t>
  </si>
  <si>
    <t>TEC-AC-10003832</t>
  </si>
  <si>
    <t>689</t>
  </si>
  <si>
    <t>CA-2018-161480</t>
  </si>
  <si>
    <t>FUR-BO-10004015</t>
  </si>
  <si>
    <t>883</t>
  </si>
  <si>
    <t>US-2018-123463</t>
  </si>
  <si>
    <t>OFF-AR-10001118</t>
  </si>
  <si>
    <t>907</t>
  </si>
  <si>
    <t>CA-2018-143259</t>
  </si>
  <si>
    <t>FUR-BO-10003441</t>
  </si>
  <si>
    <t>908</t>
  </si>
  <si>
    <t>TEC-PH-10004774</t>
  </si>
  <si>
    <t>909</t>
  </si>
  <si>
    <t>OFF-BI-10003684</t>
  </si>
  <si>
    <t>954</t>
  </si>
  <si>
    <t>CA-2018-136539</t>
  </si>
  <si>
    <t>OFF-AR-10001958</t>
  </si>
  <si>
    <t>955</t>
  </si>
  <si>
    <t>FUR-BO-10004709</t>
  </si>
  <si>
    <t>1009</t>
  </si>
  <si>
    <t>US-2018-106705</t>
  </si>
  <si>
    <t>OFF-PA-10001509</t>
  </si>
  <si>
    <t>1025</t>
  </si>
  <si>
    <t>CA-2018-106964</t>
  </si>
  <si>
    <t>OFF-BI-10000320</t>
  </si>
  <si>
    <t>1058</t>
  </si>
  <si>
    <t>CA-2018-167150</t>
  </si>
  <si>
    <t>OFF-BI-10001097</t>
  </si>
  <si>
    <t>1059</t>
  </si>
  <si>
    <t>OFF-BI-10001597</t>
  </si>
  <si>
    <t>1114</t>
  </si>
  <si>
    <t>CA-2018-140585</t>
  </si>
  <si>
    <t>OFF-BI-10003364</t>
  </si>
  <si>
    <t>1115</t>
  </si>
  <si>
    <t>FUR-BO-10002206</t>
  </si>
  <si>
    <t>batch_b_2018-12.csv</t>
  </si>
  <si>
    <t>1116</t>
  </si>
  <si>
    <t>TEC-AC-10003610</t>
  </si>
  <si>
    <t>1168</t>
  </si>
  <si>
    <t>CA-2018-145226</t>
  </si>
  <si>
    <t>FUR-FU-10004952</t>
  </si>
  <si>
    <t>1169</t>
  </si>
  <si>
    <t>OFF-ST-10004123</t>
  </si>
  <si>
    <t>1170</t>
  </si>
  <si>
    <t>OFF-PA-10003172</t>
  </si>
  <si>
    <t>1171</t>
  </si>
  <si>
    <t>OFF-ST-10002352</t>
  </si>
  <si>
    <t>1249</t>
  </si>
  <si>
    <t>CA-2018-115602</t>
  </si>
  <si>
    <t>OFF-AR-10002280</t>
  </si>
  <si>
    <t>1250</t>
  </si>
  <si>
    <t>FUR-CH-10001708</t>
  </si>
  <si>
    <t>1251</t>
  </si>
  <si>
    <t>OFF-AP-10000891</t>
  </si>
  <si>
    <t>1252</t>
  </si>
  <si>
    <t>OFF-AR-10000462</t>
  </si>
  <si>
    <t>1297</t>
  </si>
  <si>
    <t>CA-2018-115427</t>
  </si>
  <si>
    <t>OFF-BI-10002103</t>
  </si>
  <si>
    <t>1298</t>
  </si>
  <si>
    <t>OFF-BI-10004632</t>
  </si>
  <si>
    <t>1318</t>
  </si>
  <si>
    <t>CA-2018-157651</t>
  </si>
  <si>
    <t>TEC-AC-10003116</t>
  </si>
  <si>
    <t>1442</t>
  </si>
  <si>
    <t>CA-2018-128160</t>
  </si>
  <si>
    <t>OFF-BI-10001510</t>
  </si>
  <si>
    <t>1469</t>
  </si>
  <si>
    <t>CA-2018-139199</t>
  </si>
  <si>
    <t>FUR-CH-10000847</t>
  </si>
  <si>
    <t>1470</t>
  </si>
  <si>
    <t>OFF-BI-10003982</t>
  </si>
  <si>
    <t>1471</t>
  </si>
  <si>
    <t>OFF-PA-10001293</t>
  </si>
  <si>
    <t>1507</t>
  </si>
  <si>
    <t>CA-2018-154935</t>
  </si>
  <si>
    <t>OFF-BI-10003708</t>
  </si>
  <si>
    <t>1509</t>
  </si>
  <si>
    <t>CA-2018-108294</t>
  </si>
  <si>
    <t>OFF-BI-10004965</t>
  </si>
  <si>
    <t>1516</t>
  </si>
  <si>
    <t>US-2018-160759</t>
  </si>
  <si>
    <t>FUR-CH-10002961</t>
  </si>
  <si>
    <t>1517</t>
  </si>
  <si>
    <t>CA-2018-148446</t>
  </si>
  <si>
    <t>FUR-TA-10004256</t>
  </si>
  <si>
    <t>1614</t>
  </si>
  <si>
    <t>CA-2018-138380</t>
  </si>
  <si>
    <t>OFF-ST-10003306</t>
  </si>
  <si>
    <t>1688</t>
  </si>
  <si>
    <t>CA-2018-143798</t>
  </si>
  <si>
    <t>OFF-PA-10000788</t>
  </si>
  <si>
    <t>1689</t>
  </si>
  <si>
    <t>FUR-FU-10004306</t>
  </si>
  <si>
    <t>1691</t>
  </si>
  <si>
    <t>CA-2018-129833</t>
  </si>
  <si>
    <t>OFF-PA-10000575</t>
  </si>
  <si>
    <t>1692</t>
  </si>
  <si>
    <t>1753</t>
  </si>
  <si>
    <t>CA-2018-116715</t>
  </si>
  <si>
    <t>OFF-ST-10004340</t>
  </si>
  <si>
    <t>1754</t>
  </si>
  <si>
    <t>OFF-PA-10004475</t>
  </si>
  <si>
    <t>1755</t>
  </si>
  <si>
    <t>OFF-PA-10003893</t>
  </si>
  <si>
    <t>1878</t>
  </si>
  <si>
    <t>CA-2018-118885</t>
  </si>
  <si>
    <t>FUR-CH-10002880</t>
  </si>
  <si>
    <t>1879</t>
  </si>
  <si>
    <t>TEC-PH-10002563</t>
  </si>
  <si>
    <t>1893</t>
  </si>
  <si>
    <t>CA-2018-145310</t>
  </si>
  <si>
    <t>South</t>
  </si>
  <si>
    <t>OFF-EN-10002621</t>
  </si>
  <si>
    <t>1895</t>
  </si>
  <si>
    <t>US-2018-108063</t>
  </si>
  <si>
    <t>OFF-AR-10001446</t>
  </si>
  <si>
    <t>1910</t>
  </si>
  <si>
    <t>CA-2018-105886</t>
  </si>
  <si>
    <t>FUR-FU-10001037</t>
  </si>
  <si>
    <t>1925</t>
  </si>
  <si>
    <t>CA-2018-126865</t>
  </si>
  <si>
    <t>OFF-PA-10003039</t>
  </si>
  <si>
    <t>1967</t>
  </si>
  <si>
    <t>CA-2018-165841</t>
  </si>
  <si>
    <t>TEC-PH-10002103</t>
  </si>
  <si>
    <t>1968</t>
  </si>
  <si>
    <t>OFF-SU-10000898</t>
  </si>
  <si>
    <t>1969</t>
  </si>
  <si>
    <t>OFF-PA-10001144</t>
  </si>
  <si>
    <t>1996</t>
  </si>
  <si>
    <t>US-2018-147221</t>
  </si>
  <si>
    <t>OFF-AP-10002534</t>
  </si>
  <si>
    <t>1997</t>
  </si>
  <si>
    <t>FUR-FU-10004020</t>
  </si>
  <si>
    <t>2003</t>
  </si>
  <si>
    <t>CA-2018-163510</t>
  </si>
  <si>
    <t>OFF-ST-10000563</t>
  </si>
  <si>
    <t>2004</t>
  </si>
  <si>
    <t>FUR-CH-10001146</t>
  </si>
  <si>
    <t>2056</t>
  </si>
  <si>
    <t>CA-2018-120376</t>
  </si>
  <si>
    <t>TEC-AC-10001114</t>
  </si>
  <si>
    <t>2057</t>
  </si>
  <si>
    <t>FUR-CH-10002335</t>
  </si>
  <si>
    <t>2058</t>
  </si>
  <si>
    <t>TEC-AC-10000844</t>
  </si>
  <si>
    <t>2059</t>
  </si>
  <si>
    <t>FUR-TA-10004534</t>
  </si>
  <si>
    <t>2125</t>
  </si>
  <si>
    <t>CA-2018-144862</t>
  </si>
  <si>
    <t>OFF-EN-10003040</t>
  </si>
  <si>
    <t>2126</t>
  </si>
  <si>
    <t>TEC-PH-10000923</t>
  </si>
  <si>
    <t>2235</t>
  </si>
  <si>
    <t>CA-2018-104066</t>
  </si>
  <si>
    <t>TEC-AC-10001013</t>
  </si>
  <si>
    <t>2269</t>
  </si>
  <si>
    <t>CA-2018-105480</t>
  </si>
  <si>
    <t>OFF-PA-10002787</t>
  </si>
  <si>
    <t>2270</t>
  </si>
  <si>
    <t>OFF-BI-10003291</t>
  </si>
  <si>
    <t>2271</t>
  </si>
  <si>
    <t>CA-2018-164917</t>
  </si>
  <si>
    <t>OFF-AR-10004344</t>
  </si>
  <si>
    <t>2295</t>
  </si>
  <si>
    <t>CA-2018-127929</t>
  </si>
  <si>
    <t>FUR-FU-10003708</t>
  </si>
  <si>
    <t>2336</t>
  </si>
  <si>
    <t>CA-2018-152695</t>
  </si>
  <si>
    <t>OFF-EN-10004030</t>
  </si>
  <si>
    <t>2337</t>
  </si>
  <si>
    <t>OFF-AP-10000026</t>
  </si>
  <si>
    <t>2349</t>
  </si>
  <si>
    <t>CA-2018-109701</t>
  </si>
  <si>
    <t>OFF-BI-10004187</t>
  </si>
  <si>
    <t>2350</t>
  </si>
  <si>
    <t>OFF-BI-10000632</t>
  </si>
  <si>
    <t>2351</t>
  </si>
  <si>
    <t>OFF-PA-10003724</t>
  </si>
  <si>
    <t>2352</t>
  </si>
  <si>
    <t>OFF-AP-10002765</t>
  </si>
  <si>
    <t>2353</t>
  </si>
  <si>
    <t>OFF-AR-10001868</t>
  </si>
  <si>
    <t>2424</t>
  </si>
  <si>
    <t>US-2018-147669</t>
  </si>
  <si>
    <t>TEC-AC-10002473</t>
  </si>
  <si>
    <t>batch_c_2018-12.csv</t>
  </si>
  <si>
    <t>2425</t>
  </si>
  <si>
    <t>2426</t>
  </si>
  <si>
    <t>FUR-TA-10002645</t>
  </si>
  <si>
    <t>2427</t>
  </si>
  <si>
    <t>OFF-FA-10002975</t>
  </si>
  <si>
    <t>2432</t>
  </si>
  <si>
    <t>CA-2018-129805</t>
  </si>
  <si>
    <t>FUR-FU-10001935</t>
  </si>
  <si>
    <t>2463</t>
  </si>
  <si>
    <t>CA-2018-148691</t>
  </si>
  <si>
    <t>OFF-BI-10001524</t>
  </si>
  <si>
    <t>2464</t>
  </si>
  <si>
    <t>OFF-BI-10001553</t>
  </si>
  <si>
    <t>2465</t>
  </si>
  <si>
    <t>TEC-PH-10000576</t>
  </si>
  <si>
    <t>2466</t>
  </si>
  <si>
    <t>OFF-LA-10001317</t>
  </si>
  <si>
    <t>2482</t>
  </si>
  <si>
    <t>CA-2018-147956</t>
  </si>
  <si>
    <t>OFF-ST-10001097</t>
  </si>
  <si>
    <t>2513</t>
  </si>
  <si>
    <t>CA-2018-155089</t>
  </si>
  <si>
    <t>OFF-BI-10002429</t>
  </si>
  <si>
    <t>2566</t>
  </si>
  <si>
    <t>CA-2018-109589</t>
  </si>
  <si>
    <t>2570</t>
  </si>
  <si>
    <t>CA-2018-134404</t>
  </si>
  <si>
    <t>2571</t>
  </si>
  <si>
    <t>OFF-AR-10004441</t>
  </si>
  <si>
    <t>2619</t>
  </si>
  <si>
    <t>CA-2018-115931</t>
  </si>
  <si>
    <t>OFF-AR-10000369</t>
  </si>
  <si>
    <t>2620</t>
  </si>
  <si>
    <t>TEC-PH-10001300</t>
  </si>
  <si>
    <t>2621</t>
  </si>
  <si>
    <t>OFF-ST-10000876</t>
  </si>
  <si>
    <t>2622</t>
  </si>
  <si>
    <t>OFF-LA-10001404</t>
  </si>
  <si>
    <t>2675</t>
  </si>
  <si>
    <t>CA-2018-136875</t>
  </si>
  <si>
    <t>OFF-PA-10000357</t>
  </si>
  <si>
    <t>2691</t>
  </si>
  <si>
    <t>CA-2018-156412</t>
  </si>
  <si>
    <t>OFF-BI-10004364</t>
  </si>
  <si>
    <t>2719</t>
  </si>
  <si>
    <t>CA-2018-144827</t>
  </si>
  <si>
    <t>2728</t>
  </si>
  <si>
    <t>CA-2018-119193</t>
  </si>
  <si>
    <t>OFF-BI-10000848</t>
  </si>
  <si>
    <t>2729</t>
  </si>
  <si>
    <t>TEC-PH-10003072</t>
  </si>
  <si>
    <t>2773</t>
  </si>
  <si>
    <t>CA-2018-158967</t>
  </si>
  <si>
    <t>FUR-FU-10001940</t>
  </si>
  <si>
    <t>2852</t>
  </si>
  <si>
    <t>CA-2018-107342</t>
  </si>
  <si>
    <t>OFF-PA-10001745</t>
  </si>
  <si>
    <t>2875</t>
  </si>
  <si>
    <t>US-2018-102638</t>
  </si>
  <si>
    <t>OFF-FA-10002988</t>
  </si>
  <si>
    <t>2887</t>
  </si>
  <si>
    <t>CA-2018-102099</t>
  </si>
  <si>
    <t>2888</t>
  </si>
  <si>
    <t>2889</t>
  </si>
  <si>
    <t>OFF-PA-10000289</t>
  </si>
  <si>
    <t>2947</t>
  </si>
  <si>
    <t>CA-2018-169859</t>
  </si>
  <si>
    <t>FUR-FU-10004963</t>
  </si>
  <si>
    <t>2948</t>
  </si>
  <si>
    <t>OFF-BI-10000174</t>
  </si>
  <si>
    <t>2949</t>
  </si>
  <si>
    <t>OFF-EN-10000461</t>
  </si>
  <si>
    <t>2963</t>
  </si>
  <si>
    <t>CA-2018-137428</t>
  </si>
  <si>
    <t>FUR-CH-10002774</t>
  </si>
  <si>
    <t>2964</t>
  </si>
  <si>
    <t>FUR-CH-10003817</t>
  </si>
  <si>
    <t>2965</t>
  </si>
  <si>
    <t>OFF-BI-10002949</t>
  </si>
  <si>
    <t>2966</t>
  </si>
  <si>
    <t>FUR-FU-10002445</t>
  </si>
  <si>
    <t>2974</t>
  </si>
  <si>
    <t>CA-2018-111808</t>
  </si>
  <si>
    <t>OFF-BI-10004656</t>
  </si>
  <si>
    <t>2977</t>
  </si>
  <si>
    <t>CA-2018-139773</t>
  </si>
  <si>
    <t>FUR-CH-10001797</t>
  </si>
  <si>
    <t>3004</t>
  </si>
  <si>
    <t>CA-2018-104381</t>
  </si>
  <si>
    <t>OFF-BI-10001628</t>
  </si>
  <si>
    <t>3029</t>
  </si>
  <si>
    <t>CA-2018-116855</t>
  </si>
  <si>
    <t>FUR-CH-10003846</t>
  </si>
  <si>
    <t>3102</t>
  </si>
  <si>
    <t>CA-2018-119578</t>
  </si>
  <si>
    <t>OFF-SU-10003505</t>
  </si>
  <si>
    <t>3103</t>
  </si>
  <si>
    <t>FUR-BO-10003660</t>
  </si>
  <si>
    <t>3171</t>
  </si>
  <si>
    <t>CA-2018-107461</t>
  </si>
  <si>
    <t>OFF-BI-10002003</t>
  </si>
  <si>
    <t>3179</t>
  </si>
  <si>
    <t>CA-2018-105235</t>
  </si>
  <si>
    <t>FUR-FU-10001487</t>
  </si>
  <si>
    <t>3180</t>
  </si>
  <si>
    <t>FUR-FU-10000521</t>
  </si>
  <si>
    <t>3181</t>
  </si>
  <si>
    <t>OFF-AP-10001271</t>
  </si>
  <si>
    <t>3200</t>
  </si>
  <si>
    <t>CA-2018-164000</t>
  </si>
  <si>
    <t>OFF-AR-10003183</t>
  </si>
  <si>
    <t>3244</t>
  </si>
  <si>
    <t>CA-2018-113355</t>
  </si>
  <si>
    <t>TEC-PH-10004912</t>
  </si>
  <si>
    <t>3245</t>
  </si>
  <si>
    <t>FUR-CH-10002602</t>
  </si>
  <si>
    <t>3246</t>
  </si>
  <si>
    <t>US-2018-140907</t>
  </si>
  <si>
    <t>TEC-AC-10004510</t>
  </si>
  <si>
    <t>3247</t>
  </si>
  <si>
    <t>OFF-ST-10000060</t>
  </si>
  <si>
    <t>3248</t>
  </si>
  <si>
    <t>OFF-AR-10000799</t>
  </si>
  <si>
    <t>3315</t>
  </si>
  <si>
    <t>CA-2018-169978</t>
  </si>
  <si>
    <t>3316</t>
  </si>
  <si>
    <t>OFF-BI-10001900</t>
  </si>
  <si>
    <t>3332</t>
  </si>
  <si>
    <t>CA-2018-122595</t>
  </si>
  <si>
    <t>TEC-AC-10000474</t>
  </si>
  <si>
    <t>3333</t>
  </si>
  <si>
    <t>TEC-PH-10003095</t>
  </si>
  <si>
    <t>3334</t>
  </si>
  <si>
    <t>FUR-FU-10002963</t>
  </si>
  <si>
    <t>3431</t>
  </si>
  <si>
    <t>CA-2018-148264</t>
  </si>
  <si>
    <t>OFF-ST-10003327</t>
  </si>
  <si>
    <t>3432</t>
  </si>
  <si>
    <t>FUR-FU-10002703</t>
  </si>
  <si>
    <t>3433</t>
  </si>
  <si>
    <t>OFF-PA-10003651</t>
  </si>
  <si>
    <t>3434</t>
  </si>
  <si>
    <t>CA-2018-131212</t>
  </si>
  <si>
    <t>OFF-BI-10001617</t>
  </si>
  <si>
    <t>batch_d_2018-12.csv</t>
  </si>
  <si>
    <t>3435</t>
  </si>
  <si>
    <t>OFF-BI-10000145</t>
  </si>
  <si>
    <t>3465</t>
  </si>
  <si>
    <t>CA-2018-128699</t>
  </si>
  <si>
    <t>TEC-AC-10001990</t>
  </si>
  <si>
    <t>3526</t>
  </si>
  <si>
    <t>CA-2018-148922</t>
  </si>
  <si>
    <t>TEC-AC-10001838</t>
  </si>
  <si>
    <t>3527</t>
  </si>
  <si>
    <t>TEC-PH-10000148</t>
  </si>
  <si>
    <t>3528</t>
  </si>
  <si>
    <t>OFF-BI-10003476</t>
  </si>
  <si>
    <t>3545</t>
  </si>
  <si>
    <t>CA-2018-121216</t>
  </si>
  <si>
    <t>OFF-PA-10004519</t>
  </si>
  <si>
    <t>3546</t>
  </si>
  <si>
    <t>OFF-AP-10001947</t>
  </si>
  <si>
    <t>3557</t>
  </si>
  <si>
    <t>CA-2018-118542</t>
  </si>
  <si>
    <t>OFF-PA-10004735</t>
  </si>
  <si>
    <t>3558</t>
  </si>
  <si>
    <t>OFF-BI-10003429</t>
  </si>
  <si>
    <t>3589</t>
  </si>
  <si>
    <t>CA-2018-158729</t>
  </si>
  <si>
    <t>OFF-SU-10002881</t>
  </si>
  <si>
    <t>3596</t>
  </si>
  <si>
    <t>CA-2018-148012</t>
  </si>
  <si>
    <t>OFF-AR-10004757</t>
  </si>
  <si>
    <t>3651</t>
  </si>
  <si>
    <t>CA-2018-109960</t>
  </si>
  <si>
    <t>TEC-AC-10004859</t>
  </si>
  <si>
    <t>3652</t>
  </si>
  <si>
    <t>OFF-AR-10001860</t>
  </si>
  <si>
    <t>3653</t>
  </si>
  <si>
    <t>OFF-BI-10001636</t>
  </si>
  <si>
    <t>3654</t>
  </si>
  <si>
    <t>OFF-PA-10000349</t>
  </si>
  <si>
    <t>3701</t>
  </si>
  <si>
    <t>CA-2018-169411</t>
  </si>
  <si>
    <t>FUR-FU-10001602</t>
  </si>
  <si>
    <t>3786</t>
  </si>
  <si>
    <t>CA-2018-112487</t>
  </si>
  <si>
    <t>OFF-BI-10000494</t>
  </si>
  <si>
    <t>3897</t>
  </si>
  <si>
    <t>CA-2018-134285</t>
  </si>
  <si>
    <t>OFF-FA-10000611</t>
  </si>
  <si>
    <t>3898</t>
  </si>
  <si>
    <t>OFF-PA-10000304</t>
  </si>
  <si>
    <t>3900</t>
  </si>
  <si>
    <t>CA-2018-157980</t>
  </si>
  <si>
    <t>TEC-AC-10002567</t>
  </si>
  <si>
    <t>3982</t>
  </si>
  <si>
    <t>CA-2018-119564</t>
  </si>
  <si>
    <t>FUR-FU-10003096</t>
  </si>
  <si>
    <t>4030</t>
  </si>
  <si>
    <t>CA-2018-124296</t>
  </si>
  <si>
    <t>TEC-MA-10003183</t>
  </si>
  <si>
    <t>4031</t>
  </si>
  <si>
    <t>FUR-CH-10002439</t>
  </si>
  <si>
    <t>4104</t>
  </si>
  <si>
    <t>CA-2018-137456</t>
  </si>
  <si>
    <t>4140</t>
  </si>
  <si>
    <t>CA-2018-127313</t>
  </si>
  <si>
    <t>OFF-ST-10001228</t>
  </si>
  <si>
    <t>4141</t>
  </si>
  <si>
    <t>FUR-FU-10003798</t>
  </si>
  <si>
    <t>4211</t>
  </si>
  <si>
    <t>CA-2018-109715</t>
  </si>
  <si>
    <t>OFF-PA-10004965</t>
  </si>
  <si>
    <t>4240</t>
  </si>
  <si>
    <t>CA-2018-158673</t>
  </si>
  <si>
    <t>OFF-PA-10000994</t>
  </si>
  <si>
    <t>4288</t>
  </si>
  <si>
    <t>CA-2018-127516</t>
  </si>
  <si>
    <t>OFF-ST-10000736</t>
  </si>
  <si>
    <t>4291</t>
  </si>
  <si>
    <t>CA-2018-102407</t>
  </si>
  <si>
    <t>OFF-AR-10000122</t>
  </si>
  <si>
    <t>4292</t>
  </si>
  <si>
    <t>FUR-TA-10003748</t>
  </si>
  <si>
    <t>4293</t>
  </si>
  <si>
    <t>OFF-AP-10001394</t>
  </si>
  <si>
    <t>4319</t>
  </si>
  <si>
    <t>US-2018-136189</t>
  </si>
  <si>
    <t>FUR-FU-10000175</t>
  </si>
  <si>
    <t>4342</t>
  </si>
  <si>
    <t>CA-2018-130309</t>
  </si>
  <si>
    <t>4353</t>
  </si>
  <si>
    <t>CA-2018-107748</t>
  </si>
  <si>
    <t>TEC-PH-10003215</t>
  </si>
  <si>
    <t>4354</t>
  </si>
  <si>
    <t>OFF-PA-10002005</t>
  </si>
  <si>
    <t>4358</t>
  </si>
  <si>
    <t>CA-2018-162565</t>
  </si>
  <si>
    <t>OFF-PA-10001937</t>
  </si>
  <si>
    <t>4359</t>
  </si>
  <si>
    <t>4360</t>
  </si>
  <si>
    <t>FUR-CH-10003973</t>
  </si>
  <si>
    <t>4498</t>
  </si>
  <si>
    <t>CA-2018-155075</t>
  </si>
  <si>
    <t>OFF-BI-10003650</t>
  </si>
  <si>
    <t>4566</t>
  </si>
  <si>
    <t>US-2018-149510</t>
  </si>
  <si>
    <t>OFF-AP-10002350</t>
  </si>
  <si>
    <t>4567</t>
  </si>
  <si>
    <t>OFF-BI-10004233</t>
  </si>
  <si>
    <t>4568</t>
  </si>
  <si>
    <t>OFF-PA-10001892</t>
  </si>
  <si>
    <t>4620</t>
  </si>
  <si>
    <t>CA-2018-145219</t>
  </si>
  <si>
    <t>TEC-CO-10001449</t>
  </si>
  <si>
    <t>4621</t>
  </si>
  <si>
    <t>OFF-BI-10001670</t>
  </si>
  <si>
    <t>4717</t>
  </si>
  <si>
    <t>CA-2018-143126</t>
  </si>
  <si>
    <t>FUR-TA-10002958</t>
  </si>
  <si>
    <t>4860</t>
  </si>
  <si>
    <t>CA-2018-136063</t>
  </si>
  <si>
    <t>OFF-AR-10000823</t>
  </si>
  <si>
    <t>4901</t>
  </si>
  <si>
    <t>CA-2018-120936</t>
  </si>
  <si>
    <t>OFF-ST-10001526</t>
  </si>
  <si>
    <t>4902</t>
  </si>
  <si>
    <t>OFF-SU-10002557</t>
  </si>
  <si>
    <t>4922</t>
  </si>
  <si>
    <t>CA-2018-114055</t>
  </si>
  <si>
    <t>OFF-PA-10004381</t>
  </si>
  <si>
    <t>4923</t>
  </si>
  <si>
    <t>OFF-FA-10003059</t>
  </si>
  <si>
    <t>4924</t>
  </si>
  <si>
    <t>4925</t>
  </si>
  <si>
    <t>TEC-PH-10002890</t>
  </si>
  <si>
    <t>4928</t>
  </si>
  <si>
    <t>CA-2018-143245</t>
  </si>
  <si>
    <t>OFF-PA-10001972</t>
  </si>
  <si>
    <t>4929</t>
  </si>
  <si>
    <t>FUR-CH-10000155</t>
  </si>
  <si>
    <t>4944</t>
  </si>
  <si>
    <t>CA-2018-106782</t>
  </si>
  <si>
    <t>OFF-ST-10004459</t>
  </si>
  <si>
    <t>4953</t>
  </si>
  <si>
    <t>CA-2018-117926</t>
  </si>
  <si>
    <t>OFF-AP-10002670</t>
  </si>
  <si>
    <t>4992</t>
  </si>
  <si>
    <t>US-2018-122714</t>
  </si>
  <si>
    <t>OFF-BI-10001120</t>
  </si>
  <si>
    <t>5092</t>
  </si>
  <si>
    <t>CA-2018-156720</t>
  </si>
  <si>
    <t>OFF-FA-10003472</t>
  </si>
  <si>
    <t>5132</t>
  </si>
  <si>
    <t>CA-2018-146626</t>
  </si>
  <si>
    <t>FUR-FU-10002501</t>
  </si>
  <si>
    <t>batch_e_2018-12.csv</t>
  </si>
  <si>
    <t>5148</t>
  </si>
  <si>
    <t>CA-2018-128734</t>
  </si>
  <si>
    <t>FUR-FU-10001731</t>
  </si>
  <si>
    <t>5149</t>
  </si>
  <si>
    <t>FUR-CH-10001394</t>
  </si>
  <si>
    <t>5276</t>
  </si>
  <si>
    <t>CA-2018-147333</t>
  </si>
  <si>
    <t>TEC-AC-10004469</t>
  </si>
  <si>
    <t>5277</t>
  </si>
  <si>
    <t>TEC-AC-10003038</t>
  </si>
  <si>
    <t>5351</t>
  </si>
  <si>
    <t>US-2018-103814</t>
  </si>
  <si>
    <t>OFF-PA-10001019</t>
  </si>
  <si>
    <t>5408</t>
  </si>
  <si>
    <t>CA-2018-108854</t>
  </si>
  <si>
    <t>OFF-PA-10003022</t>
  </si>
  <si>
    <t>5409</t>
  </si>
  <si>
    <t>OFF-BI-10002854</t>
  </si>
  <si>
    <t>5410</t>
  </si>
  <si>
    <t>5411</t>
  </si>
  <si>
    <t>OFF-ST-10001837</t>
  </si>
  <si>
    <t>5457</t>
  </si>
  <si>
    <t>CA-2018-130631</t>
  </si>
  <si>
    <t>OFF-FA-10000089</t>
  </si>
  <si>
    <t>5458</t>
  </si>
  <si>
    <t>FUR-FU-10004093</t>
  </si>
  <si>
    <t>5472</t>
  </si>
  <si>
    <t>CA-2018-116946</t>
  </si>
  <si>
    <t>FUR-FU-10000320</t>
  </si>
  <si>
    <t>5473</t>
  </si>
  <si>
    <t>OFF-ST-10002554</t>
  </si>
  <si>
    <t>5474</t>
  </si>
  <si>
    <t>FUR-BO-10000468</t>
  </si>
  <si>
    <t>5475</t>
  </si>
  <si>
    <t>CA-2018-121741</t>
  </si>
  <si>
    <t>5518</t>
  </si>
  <si>
    <t>CA-2018-117667</t>
  </si>
  <si>
    <t>FUR-CH-10004540</t>
  </si>
  <si>
    <t>5519</t>
  </si>
  <si>
    <t>5520</t>
  </si>
  <si>
    <t>OFF-AR-10000716</t>
  </si>
  <si>
    <t>5521</t>
  </si>
  <si>
    <t>OFF-PA-10002709</t>
  </si>
  <si>
    <t>5522</t>
  </si>
  <si>
    <t>TEC-AC-10000580</t>
  </si>
  <si>
    <t>5531</t>
  </si>
  <si>
    <t>CA-2018-160885</t>
  </si>
  <si>
    <t>TEC-PH-10001795</t>
  </si>
  <si>
    <t>5728</t>
  </si>
  <si>
    <t>CA-2018-117324</t>
  </si>
  <si>
    <t>TEC-AC-10003023</t>
  </si>
  <si>
    <t>5729</t>
  </si>
  <si>
    <t>OFF-AP-10003590</t>
  </si>
  <si>
    <t>5730</t>
  </si>
  <si>
    <t>OFF-LA-10003510</t>
  </si>
  <si>
    <t>5731</t>
  </si>
  <si>
    <t>FUR-BO-10003159</t>
  </si>
  <si>
    <t>5732</t>
  </si>
  <si>
    <t>OFF-PA-10002713</t>
  </si>
  <si>
    <t>6007</t>
  </si>
  <si>
    <t>CA-2018-129581</t>
  </si>
  <si>
    <t>TEC-PH-10001527</t>
  </si>
  <si>
    <t>6075</t>
  </si>
  <si>
    <t>CA-2018-121398</t>
  </si>
  <si>
    <t>OFF-BI-10001718</t>
  </si>
  <si>
    <t>6076</t>
  </si>
  <si>
    <t>OFF-ST-10002756</t>
  </si>
  <si>
    <t>6090</t>
  </si>
  <si>
    <t>US-2018-162068</t>
  </si>
  <si>
    <t>OFF-BI-10002813</t>
  </si>
  <si>
    <t>6123</t>
  </si>
  <si>
    <t>CA-2018-152660</t>
  </si>
  <si>
    <t>OFF-ST-10000532</t>
  </si>
  <si>
    <t>6150</t>
  </si>
  <si>
    <t>CA-2018-101322</t>
  </si>
  <si>
    <t>FUR-CH-10003968</t>
  </si>
  <si>
    <t>6192</t>
  </si>
  <si>
    <t>CA-2018-107986</t>
  </si>
  <si>
    <t>OFF-ST-10001325</t>
  </si>
  <si>
    <t>6193</t>
  </si>
  <si>
    <t>CA-2018-104927</t>
  </si>
  <si>
    <t>OFF-PA-10000019</t>
  </si>
  <si>
    <t>6194</t>
  </si>
  <si>
    <t>6195</t>
  </si>
  <si>
    <t>OFF-PA-10000176</t>
  </si>
  <si>
    <t>6205</t>
  </si>
  <si>
    <t>CA-2018-145660</t>
  </si>
  <si>
    <t>FUR-FU-10002885</t>
  </si>
  <si>
    <t>6223</t>
  </si>
  <si>
    <t>CA-2018-140627</t>
  </si>
  <si>
    <t>FUR-FU-10000087</t>
  </si>
  <si>
    <t>6224</t>
  </si>
  <si>
    <t>OFF-AR-10000422</t>
  </si>
  <si>
    <t>6225</t>
  </si>
  <si>
    <t>6270</t>
  </si>
  <si>
    <t>CA-2018-102379</t>
  </si>
  <si>
    <t>TEC-PH-10001448</t>
  </si>
  <si>
    <t>6271</t>
  </si>
  <si>
    <t>FUR-CH-10004983</t>
  </si>
  <si>
    <t>6272</t>
  </si>
  <si>
    <t>OFF-AR-10004022</t>
  </si>
  <si>
    <t>6273</t>
  </si>
  <si>
    <t>CA-2018-149706</t>
  </si>
  <si>
    <t>TEC-AC-10001284</t>
  </si>
  <si>
    <t>6292</t>
  </si>
  <si>
    <t>CA-2018-143756</t>
  </si>
  <si>
    <t>FUR-CH-10001854</t>
  </si>
  <si>
    <t>6439</t>
  </si>
  <si>
    <t>US-2018-113992</t>
  </si>
  <si>
    <t>FUR-TA-10000577</t>
  </si>
  <si>
    <t>6509</t>
  </si>
  <si>
    <t>CA-2018-102197</t>
  </si>
  <si>
    <t>OFF-PA-10001970</t>
  </si>
  <si>
    <t>6510</t>
  </si>
  <si>
    <t>6511</t>
  </si>
  <si>
    <t>OFF-PA-10004156</t>
  </si>
  <si>
    <t>6532</t>
  </si>
  <si>
    <t>US-2018-107384</t>
  </si>
  <si>
    <t>OFF-AR-10001315</t>
  </si>
  <si>
    <t>6533</t>
  </si>
  <si>
    <t>TEC-AC-10004595</t>
  </si>
  <si>
    <t>6534</t>
  </si>
  <si>
    <t>TEC-AC-10001539</t>
  </si>
  <si>
    <t>6552</t>
  </si>
  <si>
    <t>CA-2018-161578</t>
  </si>
  <si>
    <t>OFF-PA-10002986</t>
  </si>
  <si>
    <t>6553</t>
  </si>
  <si>
    <t>OFF-ST-10002289</t>
  </si>
  <si>
    <t>6690</t>
  </si>
  <si>
    <t>CA-2018-104108</t>
  </si>
  <si>
    <t>OFF-AR-10000817</t>
  </si>
  <si>
    <t>6713</t>
  </si>
  <si>
    <t>CA-2018-107629</t>
  </si>
  <si>
    <t>FUR-FU-10002298</t>
  </si>
  <si>
    <t>6714</t>
  </si>
  <si>
    <t>FUR-FU-10004091</t>
  </si>
  <si>
    <t>6715</t>
  </si>
  <si>
    <t>6716</t>
  </si>
  <si>
    <t>OFF-AR-10002987</t>
  </si>
  <si>
    <t>Needs review</t>
  </si>
  <si>
    <t>Filter Status to Needs review or File issue for action. Repeat skipped rows document excluded identical copies.</t>
  </si>
  <si>
    <t>Status</t>
  </si>
  <si>
    <t>Reason</t>
  </si>
  <si>
    <t>RawOrderDate</t>
  </si>
  <si>
    <t>RawSales</t>
  </si>
  <si>
    <t>Action</t>
  </si>
  <si>
    <t>RawRecord</t>
  </si>
  <si>
    <t>210</t>
  </si>
  <si>
    <t>Conflicting RowID; review every copy</t>
  </si>
  <si>
    <t>2018-12-01</t>
  </si>
  <si>
    <t>52.29</t>
  </si>
  <si>
    <t>Correct source record, save CSV, then Refresh All</t>
  </si>
  <si>
    <t>{"RowID":"210","OrderID":"CA-2018-135860","OrderDate":"2018-12-01","ShipDate":"2018-12-07","Category":"Office Supplies","Region":"Central","ProductID":"OFF-FA-10000134","Sales":"52.29"}</t>
  </si>
  <si>
    <t>Missing RowID</t>
  </si>
  <si>
    <t>2018-12-24</t>
  </si>
  <si>
    <t>35.91</t>
  </si>
  <si>
    <t>{"RowID":"","OrderID":"CA-2018-117933","OrderDate":"2018-12-24","ShipDate":"2018-12-29","Category":"office supplies","Region":"EAST","ProductID":"OFF-AP-10004249","Sales":"35.91"}</t>
  </si>
  <si>
    <t>406</t>
  </si>
  <si>
    <t>Invalid Sales</t>
  </si>
  <si>
    <t>2018-12-08</t>
  </si>
  <si>
    <t>N/A</t>
  </si>
  <si>
    <t>407</t>
  </si>
  <si>
    <t>Invalid OrderDate</t>
  </si>
  <si>
    <t>2018-02-30</t>
  </si>
  <si>
    <t>1,199.976</t>
  </si>
  <si>
    <t>{"RowID":"407","OrderID":"CA-2018-117457","OrderDate":"2018-02-30","ShipDate":"2018-12-12","Category":"Technology","Region":"West","ProductID":"TEC-CO-10004115","Sales":"1,199.976"}</t>
  </si>
  <si>
    <t>408</t>
  </si>
  <si>
    <t>Invalid Category</t>
  </si>
  <si>
    <t>27.15</t>
  </si>
  <si>
    <t>{"RowID":"408","OrderID":"CA-2018-117457","OrderDate":"2018-12-08","ShipDate":"2018-12-12","Category":"Office supp","Region":"West","ProductID":"OFF-PA-10003724","Sales":"27.15"}</t>
  </si>
  <si>
    <t>409</t>
  </si>
  <si>
    <t>Invalid Region</t>
  </si>
  <si>
    <t>1,004.024</t>
  </si>
  <si>
    <t>{"RowID":"409","OrderID":"CA-2018-117457","OrderDate":"2018-12-08","ShipDate":"2018-12-12","Category":"furniture","Region":"","ProductID":"FUR-TA-10002041","Sales":"1,004.024"}</t>
  </si>
  <si>
    <t>410</t>
  </si>
  <si>
    <t>ShipDate precedes OrderDate</t>
  </si>
  <si>
    <t>9.68</t>
  </si>
  <si>
    <t>{"RowID":"410","OrderID":"CA-2018-117457","OrderDate":"2018-12-08","ShipDate":"2014-01-01","Category":"Office Supplies","Region":"West","ProductID":"OFF-PA-10002893","Sales":"9.68"}</t>
  </si>
  <si>
    <t>411</t>
  </si>
  <si>
    <t>Missing OrderID</t>
  </si>
  <si>
    <t>28.35</t>
  </si>
  <si>
    <t>{"RowID":"411","OrderID":"","OrderDate":"2018-12-08","ShipDate":"2018-12-12","Category":"Office Supplies","Region":"West","ProductID":"OFF-LA-10003766","Sales":"28.35"}</t>
  </si>
  <si>
    <t>412</t>
  </si>
  <si>
    <t>Missing ProductID</t>
  </si>
  <si>
    <t>55.98</t>
  </si>
  <si>
    <t>{"RowID":"412","OrderID":"CA-2018-117457","OrderDate":"2018-12-08","ShipDate":"2018-12-12","Category":"Office Supplies","Region":"West","ProductID":"","Sales":"55.98"}</t>
  </si>
  <si>
    <t>Repeat skipped</t>
  </si>
  <si>
    <t>Identical normalized RowID; retained first source file/row</t>
  </si>
  <si>
    <t>2018-12-09</t>
  </si>
  <si>
    <t>1.248</t>
  </si>
  <si>
    <t>No action unless repeat was intentional</t>
  </si>
  <si>
    <t>{"RowID":"76","OrderID":"US-2018-118038","OrderDate":"2018-12-09","ShipDate":"2018-12-11","Category":"Office Supplies","Region":"Central","ProductID":"OFF-BI-10004182","Sales":"1.248"}</t>
  </si>
  <si>
    <t>9.708</t>
  </si>
  <si>
    <t>{"RowID":"77","OrderID":"US-2018-118038","OrderDate":"2018-12-09","ShipDate":"2018-12-11","Category":"Furniture","Region":"Central","ProductID":"FUR-FU-10000260","Sales":"9.708"}</t>
  </si>
  <si>
    <t>27.24</t>
  </si>
  <si>
    <t>{"RowID":"78","OrderID":"US-2018-118038","OrderDate":"2018-12-09","ShipDate":"2018-12-11","Category":"Office Supplies","Region":"Central","ProductID":"OFF-ST-10000615","Sales":"27.24"}</t>
  </si>
  <si>
    <t>2018-12-25</t>
  </si>
  <si>
    <t>41.96</t>
  </si>
  <si>
    <t>{"RowID":"111","OrderID":"CA-2018-146780","OrderDate":"2018-12-25","ShipDate":"2018-12-30","Category":"Furniture","Region":"East","ProductID":"FUR-FU-10001934","Sales":"41.96"}</t>
  </si>
  <si>
    <t>2018-12-22</t>
  </si>
  <si>
    <t>839.43</t>
  </si>
  <si>
    <t>{"RowID":"145","OrderID":"CA-2018-155376","OrderDate":"2018-12-22","ShipDate":"2018-12-27","Category":"Office Supplies","Region":"Central","ProductID":"OFF-AP-10001058","Sales":"839.43"}</t>
  </si>
  <si>
    <t>2018-12-17</t>
  </si>
  <si>
    <t>66.284</t>
  </si>
  <si>
    <t>{"RowID":"204","OrderID":"US-2018-116701","OrderDate":"2018-12-17","ShipDate":"2018-12-21","Category":"Office Supplies","Region":"Central","ProductID":"OFF-AP-10003217","Sales":"66.284"}</t>
  </si>
  <si>
    <t>444.768</t>
  </si>
  <si>
    <t>{"RowID":"206","OrderID":"CA-2018-108329","OrderDate":"2018-12-09","ShipDate":"2018-12-14","Category":"Technology","Region":"West","ProductID":"TEC-PH-10001918","Sales":"444.768"}</t>
  </si>
  <si>
    <t>83.92</t>
  </si>
  <si>
    <t>{"RowID":"207","OrderID":"CA-2018-135860","OrderDate":"2018-12-01","ShipDate":"2018-12-07","Category":"Office Supplies","Region":"Central","ProductID":"OFF-ST-10000642","Sales":"83.92"}</t>
  </si>
  <si>
    <t>62.29</t>
  </si>
  <si>
    <t>{"RowID":"210","OrderID":"CA-2018-135860","OrderDate":"2018-12-01","ShipDate":"2018-12-07","Category":"Office Supplies","Region":"Central","ProductID":"OFF-FA-10000134","Sales":"62.29"}</t>
  </si>
  <si>
    <t>Import history</t>
  </si>
  <si>
    <t>Current folder snapshot, replaced on refresh. File issues have unknown row counts and remain visible separately.</t>
  </si>
  <si>
    <t>InputRows</t>
  </si>
  <si>
    <t>CleanRows</t>
  </si>
  <si>
    <t>ReviewRows</t>
  </si>
  <si>
    <t>RepeatedRows</t>
  </si>
  <si>
    <t>FileIssues</t>
  </si>
  <si>
    <t>LastRefresh</t>
  </si>
  <si>
    <t>SourceFolder</t>
  </si>
  <si>
    <t>Query source</t>
  </si>
  <si>
    <t>Power Query source. The same code is supplied as individual files in power-query/.</t>
  </si>
  <si>
    <t>Query</t>
  </si>
  <si>
    <t>M source</t>
  </si>
  <si>
    <t>Consolidation</t>
  </si>
  <si>
    <t>CleanMaster</t>
  </si>
  <si>
    <t>let
    Source = Consolidation[Rows],
    Clean = Table.SelectRows(Source,each [Status]="Clean"),
    Result = Table.SelectColumns(Clean,{"RowID","OrderID","OrderDate","ShipDate","Category","Region","ProductID","Sales","SourceFile","SourceRow"})
in
    Result</t>
  </si>
  <si>
    <t>NeedsReview</t>
  </si>
  <si>
    <t>let
    Source = Consolidation[Rows],
    Issues = Table.SelectRows(Source,each [Status]&lt;&gt;"Clean"),
    Action = Table.AddColumn(Issues,"Action",each if [Status]="Repeat skipped" then "No action unless repeat was intentional" else if [Status]="File issue" then "Check filename profile, headers and CSV structure" else "Correct source record, save CSV, then Refresh All",type text),
    Result = Table.SelectColumns(Action,{"Status","RowID","Reason","SourceFile","SourceRow","RawOrderDate","RawSales","Action","RawRecord"})
in
    Result</t>
  </si>
  <si>
    <t>ImportHistory</t>
  </si>
  <si>
    <t>let
    Source = Consolidation[Files],
    Result = Table.TransformColumnTypes(Source,{{"InputRows",Int64.Type},{"CleanRows",Int64.Type},{"ReviewRows",Int64.Type},{"RepeatedRows",Int64.Type},{"FileIssues",Int64.Type},{"LastRefresh",type datetime}})
in
    Result</t>
  </si>
  <si>
    <t/>
  </si>
  <si>
    <t>{"RowID":"  406 ","OrderID":"  CA-2018-117457 ","OrderDate":"2018-12-08","ShipDate":"2018-12-12","Category":"Technology","Region":"West","ProductID":"  TEC-AC-10000158 ","Sales":"N\/A"}</t>
  </si>
  <si>
    <t xml:space="preserve">let
    Settings = Excel.CurrentWorkbook(){[Name="ImportSettings"]}[Content],
    Folder = Text.Trim(Text.From(Settings{0}[Folder])),
    Mapping = Excel.CurrentWorkbook(){[Name="ColumnMapping"]}[Content],
    Formats = Excel.CurrentWorkbook(){[Name="FileFormats"]}[Content],
    Fields = {"RowID","OrderID","OrderDate","ShipDate","Category","Region","ProductID","Sales"},
    Trim = (x as any) as text =&gt; if x = null then "" else Text.Trim(Text.From(x)),
    Key = (x as any) as text =&gt; Text.Lower(Text.Remove(Trim(x), {" ","_","-"})),
    Aliases = List.Transform(Mapping[Alias], each Key(_)),
    Canonicals = Mapping[Canonical],
    CheckMap = if List.Count(List.Distinct(Aliases)) &lt;&gt; List.Count(Aliases) then error "Duplicate column aliases in ColumnMapping" else true,
    EmptyRows = #table(Fields &amp; {"SourceFile","SourceRow","Status","Reason","RawOrderDate","RawSales","RawRecord"}, {}),
    Digits = (s as text) as logical =&gt; Text.Length(s) &gt; 0 and Text.Select(s,{"0".."9"}) = s,
    Amount = (s as text) as nullable number =&gt;
        let
            Decimals = Text.Split(s,"."),
            Whole = Text.Split(Decimals{0},","),
            ValidWhole = if List.Count(Whole) = 1 then Digits(Whole{0}) else
                Digits(Whole{0}) and Text.Length(Whole{0}) &lt;= 3 and List.AllTrue(List.Transform(List.Skip(Whole), each Digits(_) and Text.Length(_) = 3)),
            Valid = List.Count(Decimals) &lt;= 2 and ValidWhole and
                (if List.Count(Decimals) = 2 then Digits(Decimals{1}) and Text.Length(Decimals{1}) &lt;= 4 else true),
            Parsed = if Valid then try Currency.From(Number.FromText(Text.Remove(s, {","}), "en-US")) otherwise null else null
        in Parsed,
    DateValue = (s as text, fmt as text) as nullable date =&gt;
        let d = try Date.FromText(s,[Format=fmt,Culture="en-US"]) otherwise null
        in if d = null then null else if Date.ToText(d,[Format=fmt,Culture="en-US"]) = s then d else null,
    Label = (s as text, allowed as list) as nullable text =&gt;
        let matches = List.Select(allowed, each Text.Lower(_) = Text.Lower(s))
        in if List.Count(matches) = 1 then matches{0} else null,
    LoadFile = (f as record) as record =&gt;
        let
            Profiles = Table.SelectRows(Formats, each Text.StartsWith(Text.Lower(f[Name]),Text.Lower(Trim([Prefix])))),
            Profile = if Table.RowCount(Profiles) &lt;&gt; 1 then error "File needs exactly one matching format profile" else Profiles{0},
            CultureCheck = if Profile[Culture] &lt;&gt; "en-US" then error "Only en-US numeric culture is supported" else true,
            Source = if CultureCheck then Csv.Document(f[Content],[Delimiter=Profile[Delimiter],Encoding=65001,QuoteStyle=QuoteStyle.Csv,ExtraValues=ExtraValues.Error]) else error "Invalid culture",
            Header = if Table.RowCount(Source) = 0 then error "File is empty; include a header row" else List.Transform(Record.FieldValues(Source{0}), each Trim(_)),
            Names = List.Transform(Header, each let i=List.PositionOf(Aliases, Key(_)) in if i &lt; 0 then "__UNKNOWN__" else Canonicals{i}),
            ValidSchema = List.Count(Names) = 8 and List.Count(List.Distinct(Names)) = 8 and List.Count(List.Difference(Fields,Names)) = 0,
            Body = if ValidSchema then Table.RenameColumns(Table.Skip(Source,1),List.Zip({Table.ColumnNames(Source),Names})) else error "Missing, extra or duplicate mapped columns",
            Numbered = Table.AddIndexColumn(Body,"SourceRow",2,1,Int64.Type),
            Converted = List.Transform(Table.ToRecords(Numbered), (r) =&gt;
                let
                    Raw = Record.SelectFields(r,Fields),
                    Clean = Record.TransformFields(Raw,List.Transform(Fields, each {_, Trim})),
                    OrderDate = DateValue(Clean[OrderDate],Profile[DateFormat]),
                    ShipDate = DateValue(Clean[ShipDate],Profile[DateFormat]),
                    Category = Label(Clean[Category],{"Furniture","Office Supplies","Technology"}),
                    Region = Label(Clean[Region],{"Central","East","South","West"}),
                    Sales = Amount(Clean[Sales]),
                    Issues = List.RemoveNulls({
                        if Clean[RowID] = "" then "Missing RowID" else null,
                        if Clean[OrderID] = "" then "Missing OrderID" else null,
                        if Clean[ProductID] = "" then "Missing ProductID" else null,
                        if OrderDate = null then "Invalid OrderDate" else null,
                        if ShipDate = null then "Invalid ShipDate" else null,
                        if OrderDate &lt;&gt; null and ShipDate &lt;&gt; null then if ShipDate &lt; OrderDate then "ShipDate precedes OrderDate" else null else null,
                        if Category = null then "Invalid Category" else null,
                        if Region = null then "Invalid Region" else null,
                        if Sales = null then "Invalid Sales" else null}),
                    Normal = [RowID=Clean[RowID],OrderID=Clean[OrderID],OrderDate=OrderDate,ShipDate=ShipDate,
                        Category=if Category=null then Clean[Category] else Category,Region=if Region=null then Clean[Region] else Region,
                        ProductID=Clean[ProductID],Sales=Sales],
                    Fingerprint = Text.FromBinary(Json.FromValue(Record.ToList(Normal)),TextEncoding.Utf8)
                in Record.Combine({Normal,[SourceFile=f[Name],SourceRow=r[SourceRow],Issues=Issues,Fingerprint=Fingerprint,
                    GroupKey=if Clean[RowID]="" then "MISSING:" &amp; f[Name] &amp; ":" &amp; Text.From(r[SourceRow]) else "ID:" &amp; Clean[RowID],
                    RawOrderDate=Trim(Raw[OrderDate]),RawSales=Trim(Raw[Sales]),
                    RawRecord=Text.FromBinary(Json.FromValue(Raw),TextEncoding.Utf8)]})),
            Rows = if List.Count(Converted)=0 then #table(Fields &amp; {"SourceFile","SourceRow","Issues","Fingerprint","GroupKey","RawOrderDate","RawSales","RawRecord"},{}) else Table.FromRecords(Converted),
            Forced = Table.Buffer(Rows)
        // Force the table inside try's scope; an unevaluated record can hide errors.
        in if Table.RowCount(Forced) &gt;= 0 then [Rows=Forced,Count=Table.RowCount(Forced)] else error "Unable to evaluate file",
    SourceFiles = if CheckMap then Table.SelectRows(Folder.Contents(Folder), each Text.Lower([Extension])=".csv" and not Text.StartsWith([Name],".") and not Text.StartsWith([Name],"~") and [Attributes]?[Hidden]? &lt;&gt; true) else error "Invalid mapping",
    SortedFiles = Table.Sort(SourceFiles,{{"Name",Order.Ascending}}),
    CheckedFiles = if Table.RowCount(SortedFiles)=0 then error "No CSV files found. Existing results are stale until a successful refresh." else if Table.RowCount(SortedFiles)&gt;10000 then error "Workbook limit: 10,000 files per refresh" else SortedFiles,
    Loaded = List.Transform(Table.ToRecords(CheckedFiles),(f) =&gt;
        let Attempt=try LoadFile(f),
            Bad=Attempt[HasError],
            ErrorText=if Bad then (try Attempt[Error][Message] otherwise "File could not be parsed") else "",
            RowTable=if Bad then #table(Table.ColumnNames(EmptyRows),{List.Repeat({null},8)&amp;{f[Name],0,"File issue",ErrorText,"","",""}}) else Attempt[Value][Rows]
        in [Name=f[Name],Rows=RowTable,InputRows=if Bad then 0 else Attempt[Value][Count],FileIssues=if Bad then 1 else 0]),
    GoodTables = List.Transform(List.Select(Loaded,each [FileIssues]=0), each [Rows]),
    Good = if List.Count(GoodTables)=0 then #table(Fields&amp;{"SourceFile","SourceRow","Issues","Fingerprint","GroupKey","RawOrderDate","RawSales","RawRecord"},{}) else Table.Combine(GoodTables),
    Groups = Table.Group(Good,{"GroupKey"},{{"Data",(t) =&gt;
        let Sorted=Table.Sort(t,{{"SourceFile",Order.Ascending},{"SourceRow",Order.Ascending}}),
            Conflict=Table.RowCount(t)&gt;1 and (List.Count(List.Distinct(t[Fingerprint]))&gt;1 or List.AnyTrue(List.Transform(t[Issues],each List.Count(_)&gt;0))),
            Ranked=Table.AddIndexColumn(Sorted,"CopyIndex",0,1,Int64.Type),
            Status=Table.AddColumn(Ranked,"Status",each if Conflict or List.Count([Issues])&gt;0 then "Needs review" else if [CopyIndex]=0 then "Clean" else "Repeat skipped",type text),
            Reason=Table.AddColumn(Status,"Reason",each Text.Combine([Issues] &amp; (if Conflict then {"Conflicting RowID; review every copy"} else if [Status]="Repeat skipped" then {"Identical normalized RowID; retained first source file/row"} else {}),"; "),type text)
        in Table.SelectColumns(Reason,Table.ColumnNames(EmptyRows)),type table}}),
    Classified = if Table.RowCount(Groups)=0 then EmptyRows else Table.Combine(Groups[Data]),
    FileErrors = List.Transform(List.Select(Loaded,each [FileIssues]&gt;0),each [Rows]),
    CombinedUnchecked = Table.Combine({Classified} &amp; FileErrors),
    Combined = if List.Sum(List.Transform(Loaded,each [InputRows]))&gt;100000 then error "Workbook limit: 100,000 parsed rows per refresh" else CombinedUnchecked,
    Rows = Table.TransformColumnTypes(Table.Sort(Combined,{{"SourceFile",Order.Ascending},{"SourceRow",Order.Ascending}}),
        {{"RowID",type text},{"OrderID",type text},{"ProductID",type text},{"OrderDate",type date},{"ShipDate",type date},{"Sales",Currency.Type},{"SourceRow",Int64.Type}}),
    RefreshTime = DateTime.FixedLocalNow(),
    Logs = List.Transform(Loaded,(f) =&gt;
        let t=Table.SelectRows(Rows,each [SourceFile]=f[Name])
        in [SourceFile=f[Name],InputRows=f[InputRows],CleanRows=Table.RowCount(Table.SelectRows(t,each [Status]="Clean")),
            ReviewRows=Table.RowCount(Table.SelectRows(t,each [Status]="Needs review")),RepeatedRows=Table.RowCount(Table.SelectRows(t,each [Status]="Repeat skipped")),
            FileIssues=f[FileIssues],LastRefresh=RefreshTime,SourceFolder=Folder]),
    Files = Table.FromRecords(Logs)
in
    [Rows=Rows,Files=Files]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</si>
</sst>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00"/>
    <numFmt numFmtId="166" formatCode="mm/dd/yyyy\ hh:mm"/>
  </numFmts>
  <fonts count="5">
    <font>
      <sz val="11"/>
      <name val="Carlito"/>
    </font>
    <font>
      <sz val="11"/>
      <color rgb="FF253548"/>
      <name val="Arial"/>
    </font>
    <font>
      <b/>
      <sz val="16"/>
      <color rgb="FF23354D"/>
      <name val="Arial"/>
    </font>
    <font>
      <b/>
      <sz val="11"/>
      <color rgb="FFFFFFFF"/>
      <name val="Arial"/>
    </font>
    <font>
      <b/>
      <sz val="11"/>
      <color rgb="FF23354D"/>
      <name val="Arial"/>
    </font>
  </fonts>
  <fills count="5">
    <fill>
      <patternFill patternType="none"/>
    </fill>
    <fill>
      <patternFill patternType="gray125"/>
    </fill>
    <fill>
      <patternFill patternType="solid">
        <fgColor rgb="FF23354D"/>
      </patternFill>
    </fill>
    <fill>
      <patternFill patternType="solid">
        <fgColor rgb="FFFFF0C2"/>
      </patternFill>
    </fill>
    <fill>
      <patternFill patternType="solid">
        <fgColor rgb="FF23354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9C4D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 wrapText="1"/>
    </xf>
    <xf numFmtId="3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NumberFormat="1" applyFont="1"/>
    <xf numFmtId="0" fontId="1" fillId="0" borderId="0" xfId="0" applyNumberFormat="1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22" fontId="1" fillId="0" borderId="0" xfId="0" applyNumberFormat="1" applyFont="1" applyAlignment="1">
      <alignment vertical="center"/>
    </xf>
    <xf numFmtId="0" fontId="3" fillId="4" borderId="3" xfId="0" applyFont="1" applyFill="1" applyBorder="1" applyAlignment="1">
      <alignment horizontal="center" vertical="top" wrapText="1"/>
    </xf>
    <xf numFmtId="0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/>
        <color rgb="FF9B3030"/>
      </font>
      <fill>
        <patternFill patternType="solid">
          <bgColor rgb="FFFCE7E7"/>
        </patternFill>
      </fill>
    </dxf>
    <dxf>
      <font>
        <b/>
        <color rgb="FF805218"/>
      </font>
      <fill>
        <patternFill patternType="solid">
          <bgColor rgb="FFFFF0C2"/>
        </patternFill>
      </fill>
    </dxf>
    <dxf>
      <font>
        <b/>
        <color rgb="FF9B3030"/>
      </font>
      <fill>
        <patternFill patternType="solid">
          <bgColor rgb="FFFCE7E7"/>
        </patternFill>
      </fill>
    </dxf>
    <dxf>
      <font>
        <b/>
        <color rgb="FF805218"/>
      </font>
      <fill>
        <patternFill patternType="solid">
          <bgColor rgb="FFFFF0C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numFmt numFmtId="27" formatCode="m/d/yyyy\ 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numFmt numFmtId="165" formatCode="#,##0.0000"/>
      <alignment horizontal="right" vertical="bottom" textRotation="0" wrapText="0" indent="0" justifyLastLine="0" shrinkToFit="0" readingOrder="0"/>
    </dxf>
    <dxf>
      <font>
        <color rgb="FF253548"/>
        <name val="Arial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</dxf>
    <dxf>
      <font>
        <color rgb="FF253548"/>
        <name val="Arial"/>
      </font>
      <numFmt numFmtId="164" formatCode="mm/dd/yyyy"/>
    </dxf>
    <dxf>
      <font>
        <color rgb="FF253548"/>
        <name val="Arial"/>
      </font>
      <numFmt numFmtId="164" formatCode="mm/dd/yyyy"/>
    </dxf>
    <dxf>
      <font>
        <color rgb="FF253548"/>
        <name val="Arial"/>
      </font>
      <numFmt numFmtId="0" formatCode="General"/>
    </dxf>
    <dxf>
      <font>
        <color rgb="FF253548"/>
        <name val="Arial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3354D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3354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3354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548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79EF7990-B91D-4B24-92C1-3A885D365F6A}" autoFormatId="16" applyNumberFormats="0" applyBorderFormats="0" applyFontFormats="0" applyPatternFormats="0" applyAlignmentFormats="0" applyWidthHeightFormats="0">
  <queryTableRefresh nextId="11">
    <queryTableFields count="10">
      <queryTableField id="1" name="RowID" tableColumnId="1"/>
      <queryTableField id="2" name="OrderID" tableColumnId="2"/>
      <queryTableField id="3" name="OrderDate" tableColumnId="3"/>
      <queryTableField id="4" name="ShipDate" tableColumnId="4"/>
      <queryTableField id="5" name="Category" tableColumnId="5"/>
      <queryTableField id="6" name="Region" tableColumnId="6"/>
      <queryTableField id="7" name="ProductID" tableColumnId="7"/>
      <queryTableField id="8" name="Sales" tableColumnId="8"/>
      <queryTableField id="9" name="SourceFile" tableColumnId="9"/>
      <queryTableField id="10" name="SourceRow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4" xr16:uid="{5E5BBBAD-621F-4E63-874C-9253BE938E1D}" autoFormatId="16" applyNumberFormats="0" applyBorderFormats="0" applyFontFormats="0" applyPatternFormats="0" applyAlignmentFormats="0" applyWidthHeightFormats="0">
  <queryTableRefresh nextId="10">
    <queryTableFields count="9">
      <queryTableField id="1" name="Status" tableColumnId="1"/>
      <queryTableField id="2" name="RowID" tableColumnId="2"/>
      <queryTableField id="3" name="Reason" tableColumnId="3"/>
      <queryTableField id="4" name="SourceFile" tableColumnId="4"/>
      <queryTableField id="5" name="SourceRow" tableColumnId="5"/>
      <queryTableField id="6" name="RawOrderDate" tableColumnId="6"/>
      <queryTableField id="7" name="RawSales" tableColumnId="7"/>
      <queryTableField id="8" name="Action" tableColumnId="8"/>
      <queryTableField id="9" name="RawRecor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3" xr16:uid="{0689533F-84C5-423F-8792-01F2F54761F6}" autoFormatId="16" applyNumberFormats="0" applyBorderFormats="0" applyFontFormats="0" applyPatternFormats="0" applyAlignmentFormats="0" applyWidthHeightFormats="0">
  <queryTableRefresh nextId="9">
    <queryTableFields count="8">
      <queryTableField id="1" name="SourceFile" tableColumnId="1"/>
      <queryTableField id="2" name="InputRows" tableColumnId="2"/>
      <queryTableField id="3" name="CleanRows" tableColumnId="3"/>
      <queryTableField id="4" name="ReviewRows" tableColumnId="4"/>
      <queryTableField id="5" name="RepeatedRows" tableColumnId="5"/>
      <queryTableField id="6" name="FileIssues" tableColumnId="6"/>
      <queryTableField id="7" name="LastRefresh" tableColumnId="7"/>
      <queryTableField id="8" name="SourceFolder" tableColumnId="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ortSettings" displayName="ImportSettings" ref="B7:B8" totalsRowShown="0">
  <tableColumns count="1">
    <tableColumn id="1" xr3:uid="{00000000-0010-0000-0000-000001000000}" name="Fol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Mapping" displayName="ColumnMapping" ref="B18:C42" totalsRowShown="0">
  <tableColumns count="2">
    <tableColumn id="1" xr3:uid="{00000000-0010-0000-0100-000001000000}" name="Alias"/>
    <tableColumn id="2" xr3:uid="{00000000-0010-0000-0100-000002000000}" name="Canoni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leFormats" displayName="FileFormats" ref="E18:H23" totalsRowShown="0">
  <tableColumns count="4">
    <tableColumn id="1" xr3:uid="{00000000-0010-0000-0200-000001000000}" name="Prefix"/>
    <tableColumn id="2" xr3:uid="{00000000-0010-0000-0200-000002000000}" name="Delimiter"/>
    <tableColumn id="3" xr3:uid="{00000000-0010-0000-0200-000003000000}" name="DateFormat"/>
    <tableColumn id="4" xr3:uid="{00000000-0010-0000-0200-000004000000}" name="Cultu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3A553-8524-4B88-AE3A-C67E73DA40DA}" name="CleanMaster" displayName="CleanMaster" ref="A6:J297" tableType="queryTable" totalsRowShown="0" headerRowDxfId="33">
  <autoFilter ref="A6:J297" xr:uid="{7723A553-8524-4B88-AE3A-C67E73DA40DA}"/>
  <tableColumns count="10">
    <tableColumn id="1" xr3:uid="{24338654-F3F5-4042-817C-A09051A2D196}" uniqueName="1" name="RowID" queryTableFieldId="1" dataDxfId="30"/>
    <tableColumn id="2" xr3:uid="{FB73CD82-2B55-4D4C-868C-6B2192011927}" uniqueName="2" name="OrderID" queryTableFieldId="2" dataDxfId="29"/>
    <tableColumn id="3" xr3:uid="{F21567CA-828E-4C77-AD26-998B5709BC5B}" uniqueName="3" name="OrderDate" queryTableFieldId="3" dataDxfId="28"/>
    <tableColumn id="4" xr3:uid="{D0E89577-0C74-4D98-827A-8547AF9776F8}" uniqueName="4" name="ShipDate" queryTableFieldId="4" dataDxfId="27"/>
    <tableColumn id="5" xr3:uid="{6190D514-EB7D-4BD7-A5AE-027EC5E2C555}" uniqueName="5" name="Category" queryTableFieldId="5" dataDxfId="26"/>
    <tableColumn id="6" xr3:uid="{6B868E9D-E3AE-42F9-B2E0-80FEC44A323B}" uniqueName="6" name="Region" queryTableFieldId="6" dataDxfId="25"/>
    <tableColumn id="7" xr3:uid="{B102462B-B529-478C-A776-C47C49EA1431}" uniqueName="7" name="ProductID" queryTableFieldId="7" dataDxfId="24"/>
    <tableColumn id="8" xr3:uid="{0522C2B6-C4AA-4C94-BD4C-19F97DF42487}" uniqueName="8" name="Sales" queryTableFieldId="8" dataDxfId="23"/>
    <tableColumn id="9" xr3:uid="{48E6D87A-363C-43FA-BF25-8689E3F73777}" uniqueName="9" name="SourceFile" queryTableFieldId="9" dataDxfId="22"/>
    <tableColumn id="10" xr3:uid="{4DD7A8FE-0A07-4618-9F82-62B755C4EBF2}" uniqueName="10" name="SourceRow" queryTableFieldId="10" dataDxfId="21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58C0B8-2434-4972-A790-17AA59BB1BB4}" name="NeedsReview" displayName="NeedsReview" ref="A6:I24" tableType="queryTable" totalsRowShown="0" headerRowDxfId="32" dataDxfId="31">
  <autoFilter ref="A6:I24" xr:uid="{5358C0B8-2434-4972-A790-17AA59BB1BB4}"/>
  <tableColumns count="9">
    <tableColumn id="1" xr3:uid="{40A88BA7-E4B0-4364-80FB-449A4FAE87AA}" uniqueName="1" name="Status" queryTableFieldId="1" dataDxfId="8"/>
    <tableColumn id="2" xr3:uid="{F90F6473-8777-4790-8DA3-803277D8E450}" uniqueName="2" name="RowID" queryTableFieldId="2" dataDxfId="7"/>
    <tableColumn id="3" xr3:uid="{DBE8881B-108C-44BF-AF82-FD3323B9766B}" uniqueName="3" name="Reason" queryTableFieldId="3" dataDxfId="6"/>
    <tableColumn id="4" xr3:uid="{F6E624EF-6145-4D13-ADFB-9609D6BB3A8B}" uniqueName="4" name="SourceFile" queryTableFieldId="4" dataDxfId="5"/>
    <tableColumn id="5" xr3:uid="{58600D42-634A-4C0A-98DA-F09BCF38FBB3}" uniqueName="5" name="SourceRow" queryTableFieldId="5" dataDxfId="4"/>
    <tableColumn id="6" xr3:uid="{A8BD6796-CD8C-42C4-9F41-1ADC2AF06030}" uniqueName="6" name="RawOrderDate" queryTableFieldId="6" dataDxfId="3"/>
    <tableColumn id="7" xr3:uid="{C9122192-96EA-4FBB-801F-1AEBDA0B1A9A}" uniqueName="7" name="RawSales" queryTableFieldId="7" dataDxfId="2"/>
    <tableColumn id="8" xr3:uid="{C239A40E-055A-44AE-99C5-0133A57A3A59}" uniqueName="8" name="Action" queryTableFieldId="8" dataDxfId="1"/>
    <tableColumn id="9" xr3:uid="{D88F349F-6720-45E3-A01A-727FAADA0412}" uniqueName="9" name="RawRecord" queryTableFieldId="9" dataDxfId="0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D35E2C-7A17-43BB-804A-71B76A3F6BCA}" name="ImportHistory" displayName="ImportHistory" ref="A6:H11" tableType="queryTable" totalsRowShown="0" headerRowDxfId="34" dataDxfId="35">
  <autoFilter ref="A6:H11" xr:uid="{31D35E2C-7A17-43BB-804A-71B76A3F6BCA}"/>
  <tableColumns count="8">
    <tableColumn id="1" xr3:uid="{9573AAEC-D8F5-4CBF-BD24-235366879037}" uniqueName="1" name="SourceFile" queryTableFieldId="1" dataDxfId="20"/>
    <tableColumn id="2" xr3:uid="{B47E19A8-8EC7-4EF2-9BE0-AC987A680973}" uniqueName="2" name="InputRows" queryTableFieldId="2" dataDxfId="19"/>
    <tableColumn id="3" xr3:uid="{82E7C0CA-03C3-41E5-B7F3-6D8CA1523A66}" uniqueName="3" name="CleanRows" queryTableFieldId="3" dataDxfId="18"/>
    <tableColumn id="4" xr3:uid="{11B99982-BA5D-40CD-A87A-5B84A1664CBC}" uniqueName="4" name="ReviewRows" queryTableFieldId="4" dataDxfId="17"/>
    <tableColumn id="5" xr3:uid="{3D021210-A493-40D5-A102-F26993E7B0AE}" uniqueName="5" name="RepeatedRows" queryTableFieldId="5" dataDxfId="16"/>
    <tableColumn id="6" xr3:uid="{F8BFE440-B4A8-4444-94A5-F28DD566A05F}" uniqueName="6" name="FileIssues" queryTableFieldId="6" dataDxfId="15"/>
    <tableColumn id="7" xr3:uid="{850ABEBA-AD9D-42F1-8E03-233738000744}" uniqueName="7" name="LastRefresh" queryTableFieldId="7" dataDxfId="14"/>
    <tableColumn id="8" xr3:uid="{6AFE64C9-033A-47DD-89D2-C3944EA9EDB4}" uniqueName="8" name="SourceFolder" queryTableFieldId="8" dataDxfId="13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Portfolio">
  <a:themeElements>
    <a:clrScheme name="Portfoli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54D"/>
  </sheetPr>
  <dimension ref="A1:K35"/>
  <sheetViews>
    <sheetView showGridLines="0" tabSelected="1" workbookViewId="0"/>
  </sheetViews>
  <sheetFormatPr defaultRowHeight="14.25"/>
  <cols>
    <col min="1" max="1" width="3" customWidth="1"/>
    <col min="2" max="2" width="37" customWidth="1"/>
    <col min="3" max="3" width="21" customWidth="1"/>
    <col min="4" max="4" width="4" customWidth="1"/>
    <col min="5" max="5" width="76" customWidth="1"/>
  </cols>
  <sheetData>
    <row r="1" spans="1:11">
      <c r="A1" s="1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.25">
      <c r="A2" s="1"/>
      <c r="B2" s="5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pans="1:11">
      <c r="A3" s="1"/>
      <c r="B3" s="6"/>
      <c r="C3" s="6"/>
      <c r="D3" s="6"/>
      <c r="E3" s="6"/>
      <c r="F3" s="6"/>
      <c r="G3" s="6"/>
      <c r="H3" s="6"/>
      <c r="I3" s="4"/>
      <c r="J3" s="4"/>
      <c r="K3" s="4"/>
    </row>
    <row r="4" spans="1:11" ht="12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/>
      <c r="B5" s="4" t="s">
        <v>1</v>
      </c>
      <c r="C5" s="15">
        <f>MAX(ImportHistory[LastRefresh])</f>
        <v>46312.707143472224</v>
      </c>
      <c r="D5" s="4"/>
      <c r="E5" s="4"/>
      <c r="F5" s="4"/>
      <c r="G5" s="4"/>
      <c r="H5" s="4"/>
      <c r="I5" s="4"/>
      <c r="J5" s="4"/>
      <c r="K5" s="4"/>
    </row>
    <row r="6" spans="1:11">
      <c r="A6" s="1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7" customHeight="1">
      <c r="A7" s="1"/>
      <c r="B7" s="9" t="s">
        <v>2</v>
      </c>
      <c r="C7" s="8" t="s">
        <v>3</v>
      </c>
      <c r="D7" s="4"/>
      <c r="E7" s="4"/>
      <c r="F7" s="4"/>
      <c r="G7" s="4"/>
      <c r="H7" s="4"/>
      <c r="I7" s="4"/>
      <c r="J7" s="4"/>
      <c r="K7" s="4"/>
    </row>
    <row r="8" spans="1:11" ht="27.95" customHeight="1">
      <c r="A8" s="1"/>
      <c r="B8" s="4" t="s">
        <v>4</v>
      </c>
      <c r="C8" s="17">
        <f>COUNTA(ImportHistory[SourceFile])</f>
        <v>5</v>
      </c>
      <c r="D8" s="4"/>
      <c r="E8" s="4" t="s">
        <v>5</v>
      </c>
      <c r="F8" s="4"/>
      <c r="G8" s="4"/>
      <c r="H8" s="4"/>
      <c r="I8" s="4"/>
      <c r="J8" s="4"/>
      <c r="K8" s="4"/>
    </row>
    <row r="9" spans="1:11" ht="27.95" customHeight="1">
      <c r="A9" s="1"/>
      <c r="B9" s="4" t="s">
        <v>6</v>
      </c>
      <c r="C9" s="17">
        <f>SUM(ImportHistory[InputRows])</f>
        <v>309</v>
      </c>
      <c r="D9" s="4"/>
      <c r="E9" s="4" t="s">
        <v>7</v>
      </c>
      <c r="F9" s="4"/>
      <c r="G9" s="4"/>
      <c r="H9" s="4"/>
      <c r="I9" s="4"/>
      <c r="J9" s="4"/>
      <c r="K9" s="4"/>
    </row>
    <row r="10" spans="1:11" ht="27.95" customHeight="1">
      <c r="A10" s="1"/>
      <c r="B10" s="4" t="s">
        <v>8</v>
      </c>
      <c r="C10" s="17">
        <f>COUNTA(CleanMaster[RowID])</f>
        <v>291</v>
      </c>
      <c r="D10" s="4"/>
      <c r="E10" s="4" t="s">
        <v>9</v>
      </c>
      <c r="F10" s="4"/>
      <c r="G10" s="4"/>
      <c r="H10" s="4"/>
      <c r="I10" s="4"/>
      <c r="J10" s="4"/>
      <c r="K10" s="4"/>
    </row>
    <row r="11" spans="1:11" ht="27.95" customHeight="1">
      <c r="A11" s="1"/>
      <c r="B11" s="4" t="s">
        <v>10</v>
      </c>
      <c r="C11" s="17">
        <f>SUM(ImportHistory[ReviewRows])</f>
        <v>10</v>
      </c>
      <c r="D11" s="4"/>
      <c r="E11" s="4" t="s">
        <v>11</v>
      </c>
      <c r="F11" s="4"/>
      <c r="G11" s="4"/>
      <c r="H11" s="4"/>
      <c r="I11" s="4"/>
      <c r="J11" s="4"/>
      <c r="K11" s="4"/>
    </row>
    <row r="12" spans="1:11" ht="27.95" customHeight="1">
      <c r="A12" s="1"/>
      <c r="B12" s="4" t="s">
        <v>12</v>
      </c>
      <c r="C12" s="17">
        <f>SUM(ImportHistory[RepeatedRows])</f>
        <v>8</v>
      </c>
      <c r="D12" s="4"/>
      <c r="E12" s="4" t="s">
        <v>13</v>
      </c>
      <c r="F12" s="4"/>
      <c r="G12" s="4"/>
      <c r="H12" s="4"/>
      <c r="I12" s="4"/>
      <c r="J12" s="4"/>
      <c r="K12" s="4"/>
    </row>
    <row r="13" spans="1:11" ht="27.95" customHeight="1">
      <c r="A13" s="1"/>
      <c r="B13" s="4" t="s">
        <v>14</v>
      </c>
      <c r="C13" s="17">
        <f>SUM(ImportHistory[FileIssues])</f>
        <v>0</v>
      </c>
      <c r="D13" s="4"/>
      <c r="E13" s="4" t="s">
        <v>15</v>
      </c>
      <c r="F13" s="4"/>
      <c r="G13" s="4"/>
      <c r="H13" s="4"/>
      <c r="I13" s="4"/>
      <c r="J13" s="4"/>
      <c r="K13" s="4"/>
    </row>
    <row r="14" spans="1:11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/>
      <c r="B16" s="4" t="s">
        <v>16</v>
      </c>
      <c r="C16" s="12">
        <f>SUM(CleanMaster[Sales])</f>
        <v>57507.719800000006</v>
      </c>
      <c r="D16" s="4"/>
      <c r="E16" s="4"/>
      <c r="F16" s="4"/>
      <c r="G16" s="4"/>
      <c r="H16" s="4"/>
      <c r="I16" s="4"/>
      <c r="J16" s="4"/>
      <c r="K16" s="4"/>
    </row>
    <row r="17" spans="1:1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30">
      <c r="A18" s="1"/>
      <c r="B18" s="4" t="s">
        <v>17</v>
      </c>
      <c r="C18" s="27" t="str">
        <f>IF(C13&gt;0,"Fix file errors first",IF(C11&gt;0,"Review flagged records",IF(C10=0,"No accepted records","Check query status before use")))</f>
        <v>Review flagged records</v>
      </c>
      <c r="D18" s="4"/>
      <c r="E18" s="4"/>
      <c r="F18" s="4"/>
      <c r="G18" s="4"/>
      <c r="H18" s="4"/>
      <c r="I18" s="4"/>
      <c r="J18" s="4"/>
      <c r="K18" s="4"/>
    </row>
    <row r="19" spans="1:11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">
      <c r="A21" s="1"/>
      <c r="B21" s="18" t="s">
        <v>18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1"/>
      <c r="B23" s="4" t="s">
        <v>19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1"/>
      <c r="B25" s="4" t="s">
        <v>20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1"/>
      <c r="B27" s="4" t="s">
        <v>21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1"/>
      <c r="B29" s="4" t="s">
        <v>22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1"/>
      <c r="B31" s="4" t="s">
        <v>23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conditionalFormatting sqref="C11">
    <cfRule type="cellIs" dxfId="12" priority="1" operator="greaterThan">
      <formula>0</formula>
    </cfRule>
  </conditionalFormatting>
  <conditionalFormatting sqref="C13">
    <cfRule type="cellIs" dxfId="11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7C98"/>
  </sheetPr>
  <dimension ref="A1:K42"/>
  <sheetViews>
    <sheetView showGridLines="0" workbookViewId="0"/>
  </sheetViews>
  <sheetFormatPr defaultRowHeight="14.25"/>
  <cols>
    <col min="1" max="1" width="3" customWidth="1"/>
    <col min="2" max="2" width="38" customWidth="1"/>
    <col min="3" max="3" width="25" customWidth="1"/>
    <col min="4" max="4" width="17" customWidth="1"/>
    <col min="5" max="5" width="18" customWidth="1"/>
    <col min="6" max="6" width="14" customWidth="1"/>
    <col min="7" max="7" width="20" customWidth="1"/>
    <col min="8" max="8" width="17" customWidth="1"/>
  </cols>
  <sheetData>
    <row r="1" spans="1:11">
      <c r="A1" s="1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.25">
      <c r="A2" s="1"/>
      <c r="B2" s="5" t="s">
        <v>24</v>
      </c>
      <c r="C2" s="4"/>
      <c r="D2" s="4"/>
      <c r="E2" s="4"/>
      <c r="F2" s="4"/>
      <c r="G2" s="4"/>
      <c r="H2" s="4"/>
      <c r="I2" s="4"/>
      <c r="J2" s="4"/>
      <c r="K2" s="4"/>
    </row>
    <row r="3" spans="1:11">
      <c r="A3" s="1"/>
      <c r="B3" s="6"/>
      <c r="C3" s="6"/>
      <c r="D3" s="6"/>
      <c r="E3" s="6"/>
      <c r="F3" s="6"/>
      <c r="G3" s="6"/>
      <c r="H3" s="6"/>
      <c r="I3" s="4"/>
      <c r="J3" s="4"/>
      <c r="K3" s="4"/>
    </row>
    <row r="4" spans="1:11" ht="12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/>
      <c r="B5" s="4" t="s">
        <v>25</v>
      </c>
      <c r="C5" s="4"/>
      <c r="D5" s="4"/>
      <c r="E5" s="4"/>
      <c r="F5" s="4"/>
      <c r="G5" s="4"/>
      <c r="H5" s="4"/>
      <c r="I5" s="4"/>
      <c r="J5" s="4"/>
      <c r="K5" s="4"/>
    </row>
    <row r="6" spans="1:11">
      <c r="A6" s="1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1"/>
      <c r="B7" s="4" t="s">
        <v>26</v>
      </c>
      <c r="C7" s="4"/>
      <c r="D7" s="4"/>
      <c r="E7" s="4"/>
      <c r="F7" s="4"/>
      <c r="G7" s="4"/>
      <c r="H7" s="4"/>
      <c r="I7" s="4"/>
      <c r="J7" s="4"/>
      <c r="K7" s="4"/>
    </row>
    <row r="8" spans="1:11" ht="57.95" customHeight="1">
      <c r="A8" s="1"/>
      <c r="B8" s="16" t="s">
        <v>27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1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1"/>
      <c r="B10" s="4" t="s">
        <v>28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1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1"/>
      <c r="B12" s="4" t="s">
        <v>29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1"/>
      <c r="B14" s="4" t="s">
        <v>30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/>
      <c r="B16" s="4" t="s">
        <v>31</v>
      </c>
      <c r="C16" s="4"/>
      <c r="D16" s="4"/>
      <c r="E16" s="4" t="s">
        <v>32</v>
      </c>
      <c r="F16" s="4"/>
      <c r="G16" s="4"/>
      <c r="H16" s="4"/>
      <c r="I16" s="4"/>
      <c r="J16" s="4"/>
      <c r="K16" s="4"/>
    </row>
    <row r="17" spans="1:1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7" customHeight="1">
      <c r="A18" s="1"/>
      <c r="B18" s="9" t="s">
        <v>33</v>
      </c>
      <c r="C18" s="8" t="s">
        <v>34</v>
      </c>
      <c r="D18" s="4"/>
      <c r="E18" s="9" t="s">
        <v>35</v>
      </c>
      <c r="F18" s="7" t="s">
        <v>36</v>
      </c>
      <c r="G18" s="7" t="s">
        <v>37</v>
      </c>
      <c r="H18" s="8" t="s">
        <v>38</v>
      </c>
      <c r="I18" s="4"/>
      <c r="J18" s="4"/>
      <c r="K18" s="4"/>
    </row>
    <row r="19" spans="1:11">
      <c r="A19" s="1"/>
      <c r="B19" s="4" t="s">
        <v>39</v>
      </c>
      <c r="C19" s="4" t="s">
        <v>39</v>
      </c>
      <c r="D19" s="4"/>
      <c r="E19" s="4" t="s">
        <v>40</v>
      </c>
      <c r="F19" s="4" t="s">
        <v>41</v>
      </c>
      <c r="G19" s="4" t="s">
        <v>42</v>
      </c>
      <c r="H19" s="4" t="s">
        <v>43</v>
      </c>
      <c r="I19" s="4"/>
      <c r="J19" s="4"/>
      <c r="K19" s="4"/>
    </row>
    <row r="20" spans="1:11">
      <c r="A20" s="1"/>
      <c r="B20" s="4" t="s">
        <v>44</v>
      </c>
      <c r="C20" s="4" t="s">
        <v>44</v>
      </c>
      <c r="D20" s="4"/>
      <c r="E20" s="4" t="s">
        <v>45</v>
      </c>
      <c r="F20" s="4" t="s">
        <v>41</v>
      </c>
      <c r="G20" s="4" t="s">
        <v>46</v>
      </c>
      <c r="H20" s="4" t="s">
        <v>43</v>
      </c>
      <c r="I20" s="4"/>
      <c r="J20" s="4"/>
      <c r="K20" s="4"/>
    </row>
    <row r="21" spans="1:11">
      <c r="A21" s="1"/>
      <c r="B21" s="4" t="s">
        <v>47</v>
      </c>
      <c r="C21" s="4" t="s">
        <v>47</v>
      </c>
      <c r="D21" s="4"/>
      <c r="E21" s="4" t="s">
        <v>48</v>
      </c>
      <c r="F21" s="4" t="s">
        <v>49</v>
      </c>
      <c r="G21" s="4" t="s">
        <v>50</v>
      </c>
      <c r="H21" s="4" t="s">
        <v>43</v>
      </c>
      <c r="I21" s="4"/>
      <c r="J21" s="4"/>
      <c r="K21" s="4"/>
    </row>
    <row r="22" spans="1:11">
      <c r="A22" s="1"/>
      <c r="B22" s="4" t="s">
        <v>51</v>
      </c>
      <c r="C22" s="4" t="s">
        <v>51</v>
      </c>
      <c r="D22" s="4"/>
      <c r="E22" s="4" t="s">
        <v>52</v>
      </c>
      <c r="F22" s="4" t="s">
        <v>41</v>
      </c>
      <c r="G22" s="4" t="s">
        <v>42</v>
      </c>
      <c r="H22" s="4" t="s">
        <v>43</v>
      </c>
      <c r="I22" s="4"/>
      <c r="J22" s="4"/>
      <c r="K22" s="4"/>
    </row>
    <row r="23" spans="1:11">
      <c r="A23" s="1"/>
      <c r="B23" s="4" t="s">
        <v>53</v>
      </c>
      <c r="C23" s="4" t="s">
        <v>53</v>
      </c>
      <c r="D23" s="4"/>
      <c r="E23" s="4" t="s">
        <v>54</v>
      </c>
      <c r="F23" s="4" t="s">
        <v>41</v>
      </c>
      <c r="G23" s="4" t="s">
        <v>42</v>
      </c>
      <c r="H23" s="4" t="s">
        <v>43</v>
      </c>
      <c r="I23" s="4"/>
      <c r="J23" s="4"/>
      <c r="K23" s="4"/>
    </row>
    <row r="24" spans="1:11">
      <c r="A24" s="1"/>
      <c r="B24" s="4" t="s">
        <v>55</v>
      </c>
      <c r="C24" s="4" t="s">
        <v>55</v>
      </c>
      <c r="D24" s="4"/>
      <c r="E24" s="4"/>
      <c r="F24" s="4"/>
      <c r="G24" s="4"/>
      <c r="H24" s="4"/>
      <c r="I24" s="4"/>
      <c r="J24" s="4"/>
      <c r="K24" s="4"/>
    </row>
    <row r="25" spans="1:11">
      <c r="A25" s="1"/>
      <c r="B25" s="4" t="s">
        <v>56</v>
      </c>
      <c r="C25" s="4" t="s">
        <v>56</v>
      </c>
      <c r="D25" s="4"/>
      <c r="E25" s="4"/>
      <c r="F25" s="4"/>
      <c r="G25" s="4"/>
      <c r="H25" s="4"/>
      <c r="I25" s="4"/>
      <c r="J25" s="4"/>
      <c r="K25" s="4"/>
    </row>
    <row r="26" spans="1:11">
      <c r="A26" s="1"/>
      <c r="B26" s="4" t="s">
        <v>57</v>
      </c>
      <c r="C26" s="4" t="s">
        <v>57</v>
      </c>
      <c r="D26" s="4"/>
      <c r="E26" s="4" t="s">
        <v>58</v>
      </c>
      <c r="F26" s="4"/>
      <c r="G26" s="4"/>
      <c r="H26" s="4"/>
      <c r="I26" s="4"/>
      <c r="J26" s="4"/>
      <c r="K26" s="4"/>
    </row>
    <row r="27" spans="1:11">
      <c r="A27" s="1"/>
      <c r="B27" s="4" t="s">
        <v>59</v>
      </c>
      <c r="C27" s="4" t="s">
        <v>39</v>
      </c>
      <c r="D27" s="4"/>
      <c r="E27" s="4"/>
      <c r="F27" s="4"/>
      <c r="G27" s="4"/>
      <c r="H27" s="4"/>
      <c r="I27" s="4"/>
      <c r="J27" s="4"/>
      <c r="K27" s="4"/>
    </row>
    <row r="28" spans="1:11">
      <c r="A28" s="1"/>
      <c r="B28" s="4" t="s">
        <v>60</v>
      </c>
      <c r="C28" s="4" t="s">
        <v>44</v>
      </c>
      <c r="D28" s="4"/>
      <c r="E28" s="4" t="s">
        <v>61</v>
      </c>
      <c r="F28" s="4"/>
      <c r="G28" s="4"/>
      <c r="H28" s="4"/>
      <c r="I28" s="4"/>
      <c r="J28" s="4"/>
      <c r="K28" s="4"/>
    </row>
    <row r="29" spans="1:11">
      <c r="A29" s="1"/>
      <c r="B29" s="4" t="s">
        <v>62</v>
      </c>
      <c r="C29" s="4" t="s">
        <v>47</v>
      </c>
      <c r="D29" s="4"/>
      <c r="E29" s="4"/>
      <c r="F29" s="4"/>
      <c r="G29" s="4"/>
      <c r="H29" s="4"/>
      <c r="I29" s="4"/>
      <c r="J29" s="4"/>
      <c r="K29" s="4"/>
    </row>
    <row r="30" spans="1:11">
      <c r="A30" s="1"/>
      <c r="B30" s="4" t="s">
        <v>63</v>
      </c>
      <c r="C30" s="4" t="s">
        <v>51</v>
      </c>
      <c r="D30" s="4"/>
      <c r="E30" s="4" t="s">
        <v>64</v>
      </c>
      <c r="F30" s="4"/>
      <c r="G30" s="4"/>
      <c r="H30" s="4"/>
      <c r="I30" s="4"/>
      <c r="J30" s="4"/>
      <c r="K30" s="4"/>
    </row>
    <row r="31" spans="1:11">
      <c r="A31" s="1"/>
      <c r="B31" s="4" t="s">
        <v>65</v>
      </c>
      <c r="C31" s="4" t="s">
        <v>53</v>
      </c>
      <c r="D31" s="4"/>
      <c r="E31" s="4"/>
      <c r="F31" s="4"/>
      <c r="G31" s="4"/>
      <c r="H31" s="4"/>
      <c r="I31" s="4"/>
      <c r="J31" s="4"/>
      <c r="K31" s="4"/>
    </row>
    <row r="32" spans="1:11">
      <c r="A32" s="1"/>
      <c r="B32" s="4" t="s">
        <v>66</v>
      </c>
      <c r="C32" s="4" t="s">
        <v>55</v>
      </c>
      <c r="D32" s="4"/>
      <c r="E32" s="4" t="s">
        <v>67</v>
      </c>
      <c r="F32" s="4"/>
      <c r="G32" s="4"/>
      <c r="H32" s="4"/>
      <c r="I32" s="4"/>
      <c r="J32" s="4"/>
      <c r="K32" s="4"/>
    </row>
    <row r="33" spans="1:11">
      <c r="A33" s="1"/>
      <c r="B33" s="4" t="s">
        <v>68</v>
      </c>
      <c r="C33" s="4" t="s">
        <v>56</v>
      </c>
      <c r="D33" s="4"/>
      <c r="E33" s="4"/>
      <c r="F33" s="4"/>
      <c r="G33" s="4"/>
      <c r="H33" s="4"/>
      <c r="I33" s="4"/>
      <c r="J33" s="4"/>
      <c r="K33" s="4"/>
    </row>
    <row r="34" spans="1:11">
      <c r="A34" s="1"/>
      <c r="B34" s="4" t="s">
        <v>69</v>
      </c>
      <c r="C34" s="4" t="s">
        <v>57</v>
      </c>
      <c r="D34" s="4"/>
      <c r="E34" s="4" t="s">
        <v>70</v>
      </c>
      <c r="F34" s="4"/>
      <c r="G34" s="4"/>
      <c r="H34" s="4"/>
      <c r="I34" s="4"/>
      <c r="J34" s="4"/>
      <c r="K34" s="4"/>
    </row>
    <row r="35" spans="1:11">
      <c r="A35" s="1"/>
      <c r="B35" s="4" t="s">
        <v>71</v>
      </c>
      <c r="C35" s="4" t="s">
        <v>39</v>
      </c>
      <c r="D35" s="4"/>
      <c r="E35" s="4"/>
      <c r="F35" s="4"/>
      <c r="G35" s="4"/>
      <c r="H35" s="4"/>
      <c r="I35" s="4"/>
      <c r="J35" s="4"/>
      <c r="K35" s="4"/>
    </row>
    <row r="36" spans="1:11">
      <c r="B36" t="s">
        <v>72</v>
      </c>
      <c r="C36" t="s">
        <v>44</v>
      </c>
      <c r="E36" t="s">
        <v>73</v>
      </c>
    </row>
    <row r="37" spans="1:11">
      <c r="B37" t="s">
        <v>74</v>
      </c>
      <c r="C37" t="s">
        <v>47</v>
      </c>
    </row>
    <row r="38" spans="1:11">
      <c r="B38" t="s">
        <v>75</v>
      </c>
      <c r="C38" t="s">
        <v>51</v>
      </c>
    </row>
    <row r="39" spans="1:11">
      <c r="B39" t="s">
        <v>76</v>
      </c>
      <c r="C39" t="s">
        <v>53</v>
      </c>
    </row>
    <row r="40" spans="1:11">
      <c r="B40" t="s">
        <v>77</v>
      </c>
      <c r="C40" t="s">
        <v>55</v>
      </c>
    </row>
    <row r="41" spans="1:11">
      <c r="B41" t="s">
        <v>78</v>
      </c>
      <c r="C41" t="s">
        <v>56</v>
      </c>
    </row>
    <row r="42" spans="1:11">
      <c r="B42" t="s">
        <v>79</v>
      </c>
      <c r="C42" t="s">
        <v>57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7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25"/>
  <cols>
    <col min="1" max="1" width="11" customWidth="1"/>
    <col min="2" max="2" width="23" customWidth="1"/>
    <col min="3" max="4" width="16" customWidth="1"/>
    <col min="5" max="5" width="23" customWidth="1"/>
    <col min="6" max="6" width="14" customWidth="1"/>
    <col min="7" max="7" width="25" customWidth="1"/>
    <col min="8" max="8" width="18" customWidth="1"/>
    <col min="9" max="9" width="32" customWidth="1"/>
    <col min="10" max="10" width="18.375" customWidth="1"/>
  </cols>
  <sheetData>
    <row r="1" spans="1:11">
      <c r="A1" s="1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.25">
      <c r="A2" s="2" t="s">
        <v>80</v>
      </c>
      <c r="B2" s="5"/>
      <c r="C2" s="4"/>
      <c r="D2" s="4"/>
      <c r="E2" s="4"/>
      <c r="F2" s="4"/>
      <c r="G2" s="4"/>
      <c r="H2" s="4"/>
      <c r="I2" s="4"/>
      <c r="J2" s="4"/>
      <c r="K2" s="4"/>
    </row>
    <row r="3" spans="1:11">
      <c r="A3" s="3"/>
      <c r="B3" s="6"/>
      <c r="C3" s="6"/>
      <c r="D3" s="6"/>
      <c r="E3" s="6"/>
      <c r="F3" s="6"/>
      <c r="G3" s="6"/>
      <c r="H3" s="6"/>
      <c r="I3" s="6"/>
      <c r="J3" s="6"/>
      <c r="K3" s="4"/>
    </row>
    <row r="4" spans="1:11" ht="12" customHeight="1">
      <c r="A4" s="1" t="s">
        <v>81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">
      <c r="A6" s="9" t="s">
        <v>39</v>
      </c>
      <c r="B6" s="7" t="s">
        <v>44</v>
      </c>
      <c r="C6" s="7" t="s">
        <v>47</v>
      </c>
      <c r="D6" s="7" t="s">
        <v>51</v>
      </c>
      <c r="E6" s="7" t="s">
        <v>53</v>
      </c>
      <c r="F6" s="7" t="s">
        <v>55</v>
      </c>
      <c r="G6" s="7" t="s">
        <v>56</v>
      </c>
      <c r="H6" s="7" t="s">
        <v>57</v>
      </c>
      <c r="I6" s="7" t="s">
        <v>82</v>
      </c>
      <c r="J6" s="8" t="s">
        <v>83</v>
      </c>
      <c r="K6" s="4"/>
    </row>
    <row r="7" spans="1:11">
      <c r="A7" s="19" t="s">
        <v>84</v>
      </c>
      <c r="B7" s="20" t="s">
        <v>85</v>
      </c>
      <c r="C7" s="10">
        <v>43443</v>
      </c>
      <c r="D7" s="10">
        <v>43445</v>
      </c>
      <c r="E7" s="4" t="s">
        <v>86</v>
      </c>
      <c r="F7" s="4" t="s">
        <v>87</v>
      </c>
      <c r="G7" s="20" t="s">
        <v>88</v>
      </c>
      <c r="H7" s="13">
        <v>1.248</v>
      </c>
      <c r="I7" s="14" t="s">
        <v>89</v>
      </c>
      <c r="J7" s="14">
        <v>2</v>
      </c>
      <c r="K7" s="4"/>
    </row>
    <row r="8" spans="1:11">
      <c r="A8" s="19" t="s">
        <v>90</v>
      </c>
      <c r="B8" s="20" t="s">
        <v>85</v>
      </c>
      <c r="C8" s="10">
        <v>43443</v>
      </c>
      <c r="D8" s="10">
        <v>43445</v>
      </c>
      <c r="E8" s="4" t="s">
        <v>91</v>
      </c>
      <c r="F8" s="4" t="s">
        <v>87</v>
      </c>
      <c r="G8" s="20" t="s">
        <v>92</v>
      </c>
      <c r="H8" s="13">
        <v>9.7080000000000002</v>
      </c>
      <c r="I8" s="14" t="s">
        <v>89</v>
      </c>
      <c r="J8" s="14">
        <v>3</v>
      </c>
      <c r="K8" s="4"/>
    </row>
    <row r="9" spans="1:11">
      <c r="A9" s="19" t="s">
        <v>93</v>
      </c>
      <c r="B9" s="20" t="s">
        <v>85</v>
      </c>
      <c r="C9" s="10">
        <v>43443</v>
      </c>
      <c r="D9" s="10">
        <v>43445</v>
      </c>
      <c r="E9" s="4" t="s">
        <v>86</v>
      </c>
      <c r="F9" s="4" t="s">
        <v>87</v>
      </c>
      <c r="G9" s="20" t="s">
        <v>94</v>
      </c>
      <c r="H9" s="13">
        <v>27.24</v>
      </c>
      <c r="I9" s="14" t="s">
        <v>89</v>
      </c>
      <c r="J9" s="14">
        <v>4</v>
      </c>
      <c r="K9" s="4"/>
    </row>
    <row r="10" spans="1:11">
      <c r="A10" s="19" t="s">
        <v>95</v>
      </c>
      <c r="B10" s="20" t="s">
        <v>96</v>
      </c>
      <c r="C10" s="10">
        <v>43459</v>
      </c>
      <c r="D10" s="10">
        <v>43464</v>
      </c>
      <c r="E10" s="4" t="s">
        <v>91</v>
      </c>
      <c r="F10" s="4" t="s">
        <v>97</v>
      </c>
      <c r="G10" s="20" t="s">
        <v>98</v>
      </c>
      <c r="H10" s="13">
        <v>41.96</v>
      </c>
      <c r="I10" s="14" t="s">
        <v>89</v>
      </c>
      <c r="J10" s="14">
        <v>5</v>
      </c>
      <c r="K10" s="4"/>
    </row>
    <row r="11" spans="1:11">
      <c r="A11" s="19" t="s">
        <v>99</v>
      </c>
      <c r="B11" s="20" t="s">
        <v>100</v>
      </c>
      <c r="C11" s="10">
        <v>43456</v>
      </c>
      <c r="D11" s="10">
        <v>43461</v>
      </c>
      <c r="E11" s="4" t="s">
        <v>86</v>
      </c>
      <c r="F11" s="4" t="s">
        <v>87</v>
      </c>
      <c r="G11" s="20" t="s">
        <v>101</v>
      </c>
      <c r="H11" s="13">
        <v>839.43</v>
      </c>
      <c r="I11" s="14" t="s">
        <v>89</v>
      </c>
      <c r="J11" s="14">
        <v>6</v>
      </c>
      <c r="K11" s="4"/>
    </row>
    <row r="12" spans="1:11">
      <c r="A12" s="19" t="s">
        <v>102</v>
      </c>
      <c r="B12" s="20" t="s">
        <v>103</v>
      </c>
      <c r="C12" s="10">
        <v>43451</v>
      </c>
      <c r="D12" s="10">
        <v>43455</v>
      </c>
      <c r="E12" s="4" t="s">
        <v>86</v>
      </c>
      <c r="F12" s="4" t="s">
        <v>87</v>
      </c>
      <c r="G12" s="20" t="s">
        <v>104</v>
      </c>
      <c r="H12" s="13">
        <v>66.284000000000006</v>
      </c>
      <c r="I12" s="14" t="s">
        <v>89</v>
      </c>
      <c r="J12" s="14">
        <v>7</v>
      </c>
      <c r="K12" s="4"/>
    </row>
    <row r="13" spans="1:11">
      <c r="A13" s="19" t="s">
        <v>105</v>
      </c>
      <c r="B13" s="20" t="s">
        <v>106</v>
      </c>
      <c r="C13" s="10">
        <v>43443</v>
      </c>
      <c r="D13" s="10">
        <v>43448</v>
      </c>
      <c r="E13" s="4" t="s">
        <v>107</v>
      </c>
      <c r="F13" s="4" t="s">
        <v>108</v>
      </c>
      <c r="G13" s="20" t="s">
        <v>109</v>
      </c>
      <c r="H13" s="13">
        <v>444.76799999999997</v>
      </c>
      <c r="I13" s="14" t="s">
        <v>89</v>
      </c>
      <c r="J13" s="14">
        <v>8</v>
      </c>
      <c r="K13" s="4"/>
    </row>
    <row r="14" spans="1:11">
      <c r="A14" s="19" t="s">
        <v>110</v>
      </c>
      <c r="B14" s="20" t="s">
        <v>111</v>
      </c>
      <c r="C14" s="10">
        <v>43435</v>
      </c>
      <c r="D14" s="10">
        <v>43441</v>
      </c>
      <c r="E14" s="4" t="s">
        <v>86</v>
      </c>
      <c r="F14" s="4" t="s">
        <v>87</v>
      </c>
      <c r="G14" s="20" t="s">
        <v>112</v>
      </c>
      <c r="H14" s="13">
        <v>83.92</v>
      </c>
      <c r="I14" s="14" t="s">
        <v>89</v>
      </c>
      <c r="J14" s="14">
        <v>9</v>
      </c>
      <c r="K14" s="4"/>
    </row>
    <row r="15" spans="1:11">
      <c r="A15" s="19" t="s">
        <v>113</v>
      </c>
      <c r="B15" s="20" t="s">
        <v>111</v>
      </c>
      <c r="C15" s="10">
        <v>43435</v>
      </c>
      <c r="D15" s="10">
        <v>43441</v>
      </c>
      <c r="E15" s="4" t="s">
        <v>107</v>
      </c>
      <c r="F15" s="4" t="s">
        <v>87</v>
      </c>
      <c r="G15" s="20" t="s">
        <v>114</v>
      </c>
      <c r="H15" s="13">
        <v>131.97999999999999</v>
      </c>
      <c r="I15" s="14" t="s">
        <v>89</v>
      </c>
      <c r="J15" s="14">
        <v>10</v>
      </c>
      <c r="K15" s="4"/>
    </row>
    <row r="16" spans="1:11">
      <c r="A16" s="19" t="s">
        <v>115</v>
      </c>
      <c r="B16" s="20" t="s">
        <v>111</v>
      </c>
      <c r="C16" s="10">
        <v>43435</v>
      </c>
      <c r="D16" s="10">
        <v>43441</v>
      </c>
      <c r="E16" s="4" t="s">
        <v>86</v>
      </c>
      <c r="F16" s="4" t="s">
        <v>87</v>
      </c>
      <c r="G16" s="20" t="s">
        <v>116</v>
      </c>
      <c r="H16" s="13">
        <v>15.92</v>
      </c>
      <c r="I16" s="14" t="s">
        <v>89</v>
      </c>
      <c r="J16" s="14">
        <v>11</v>
      </c>
      <c r="K16" s="4"/>
    </row>
    <row r="17" spans="1:11">
      <c r="A17" s="19" t="s">
        <v>117</v>
      </c>
      <c r="B17" s="20" t="s">
        <v>111</v>
      </c>
      <c r="C17" s="10">
        <v>43435</v>
      </c>
      <c r="D17" s="10">
        <v>43441</v>
      </c>
      <c r="E17" s="4" t="s">
        <v>86</v>
      </c>
      <c r="F17" s="4" t="s">
        <v>87</v>
      </c>
      <c r="G17" s="20" t="s">
        <v>118</v>
      </c>
      <c r="H17" s="13">
        <v>91.99</v>
      </c>
      <c r="I17" s="14" t="s">
        <v>89</v>
      </c>
      <c r="J17" s="14">
        <v>13</v>
      </c>
      <c r="K17" s="4"/>
    </row>
    <row r="18" spans="1:11">
      <c r="A18" s="19" t="s">
        <v>119</v>
      </c>
      <c r="B18" s="20" t="s">
        <v>120</v>
      </c>
      <c r="C18" s="10">
        <v>43435</v>
      </c>
      <c r="D18" s="10">
        <v>43437</v>
      </c>
      <c r="E18" s="4" t="s">
        <v>107</v>
      </c>
      <c r="F18" s="4" t="s">
        <v>97</v>
      </c>
      <c r="G18" s="20" t="s">
        <v>121</v>
      </c>
      <c r="H18" s="13">
        <v>20.37</v>
      </c>
      <c r="I18" s="14" t="s">
        <v>89</v>
      </c>
      <c r="J18" s="14">
        <v>14</v>
      </c>
      <c r="K18" s="4"/>
    </row>
    <row r="19" spans="1:11">
      <c r="A19" s="19" t="s">
        <v>122</v>
      </c>
      <c r="B19" s="20" t="s">
        <v>120</v>
      </c>
      <c r="C19" s="10">
        <v>43435</v>
      </c>
      <c r="D19" s="10">
        <v>43437</v>
      </c>
      <c r="E19" s="4" t="s">
        <v>86</v>
      </c>
      <c r="F19" s="4" t="s">
        <v>97</v>
      </c>
      <c r="G19" s="20" t="s">
        <v>123</v>
      </c>
      <c r="H19" s="13">
        <v>221.55</v>
      </c>
      <c r="I19" s="14" t="s">
        <v>89</v>
      </c>
      <c r="J19" s="14">
        <v>15</v>
      </c>
      <c r="K19" s="4"/>
    </row>
    <row r="20" spans="1:11">
      <c r="A20" s="19" t="s">
        <v>124</v>
      </c>
      <c r="B20" s="20" t="s">
        <v>120</v>
      </c>
      <c r="C20" s="10">
        <v>43435</v>
      </c>
      <c r="D20" s="10">
        <v>43437</v>
      </c>
      <c r="E20" s="4" t="s">
        <v>86</v>
      </c>
      <c r="F20" s="4" t="s">
        <v>97</v>
      </c>
      <c r="G20" s="20" t="s">
        <v>125</v>
      </c>
      <c r="H20" s="13">
        <v>17.52</v>
      </c>
      <c r="I20" s="14" t="s">
        <v>89</v>
      </c>
      <c r="J20" s="14">
        <v>16</v>
      </c>
      <c r="K20" s="4"/>
    </row>
    <row r="21" spans="1:11">
      <c r="A21" s="19" t="s">
        <v>126</v>
      </c>
      <c r="B21" s="20" t="s">
        <v>127</v>
      </c>
      <c r="C21" s="10">
        <v>43443</v>
      </c>
      <c r="D21" s="10">
        <v>43447</v>
      </c>
      <c r="E21" s="4" t="s">
        <v>86</v>
      </c>
      <c r="F21" s="4" t="s">
        <v>97</v>
      </c>
      <c r="G21" s="20" t="s">
        <v>128</v>
      </c>
      <c r="H21" s="13">
        <v>37.207999999999998</v>
      </c>
      <c r="I21" s="14" t="s">
        <v>89</v>
      </c>
      <c r="J21" s="14">
        <v>17</v>
      </c>
      <c r="K21" s="4"/>
    </row>
    <row r="22" spans="1:11">
      <c r="A22" s="19" t="s">
        <v>129</v>
      </c>
      <c r="B22" s="20" t="s">
        <v>127</v>
      </c>
      <c r="C22" s="10">
        <v>43443</v>
      </c>
      <c r="D22" s="10">
        <v>43447</v>
      </c>
      <c r="E22" s="4" t="s">
        <v>86</v>
      </c>
      <c r="F22" s="4" t="s">
        <v>97</v>
      </c>
      <c r="G22" s="20" t="s">
        <v>130</v>
      </c>
      <c r="H22" s="13">
        <v>57.576000000000001</v>
      </c>
      <c r="I22" s="14" t="s">
        <v>89</v>
      </c>
      <c r="J22" s="14">
        <v>18</v>
      </c>
      <c r="K22" s="4"/>
    </row>
    <row r="23" spans="1:11">
      <c r="A23" s="19" t="s">
        <v>131</v>
      </c>
      <c r="B23" s="20" t="s">
        <v>132</v>
      </c>
      <c r="C23" s="10">
        <v>43462</v>
      </c>
      <c r="D23" s="10">
        <v>43467</v>
      </c>
      <c r="E23" s="4" t="s">
        <v>86</v>
      </c>
      <c r="F23" s="4" t="s">
        <v>108</v>
      </c>
      <c r="G23" s="20" t="s">
        <v>133</v>
      </c>
      <c r="H23" s="13">
        <v>725.84</v>
      </c>
      <c r="I23" s="14" t="s">
        <v>89</v>
      </c>
      <c r="J23" s="14">
        <v>19</v>
      </c>
      <c r="K23" s="4"/>
    </row>
    <row r="24" spans="1:11">
      <c r="A24" s="19" t="s">
        <v>134</v>
      </c>
      <c r="B24" s="20" t="s">
        <v>135</v>
      </c>
      <c r="C24" s="10">
        <v>43445</v>
      </c>
      <c r="D24" s="10">
        <v>43449</v>
      </c>
      <c r="E24" s="4" t="s">
        <v>86</v>
      </c>
      <c r="F24" s="4" t="s">
        <v>97</v>
      </c>
      <c r="G24" s="20" t="s">
        <v>136</v>
      </c>
      <c r="H24" s="13">
        <v>23.36</v>
      </c>
      <c r="I24" s="14" t="s">
        <v>89</v>
      </c>
      <c r="J24" s="14">
        <v>20</v>
      </c>
      <c r="K24" s="4"/>
    </row>
    <row r="25" spans="1:11">
      <c r="A25" s="19" t="s">
        <v>137</v>
      </c>
      <c r="B25" s="20" t="s">
        <v>135</v>
      </c>
      <c r="C25" s="10">
        <v>43445</v>
      </c>
      <c r="D25" s="10">
        <v>43449</v>
      </c>
      <c r="E25" s="4" t="s">
        <v>107</v>
      </c>
      <c r="F25" s="4" t="s">
        <v>97</v>
      </c>
      <c r="G25" s="20" t="s">
        <v>138</v>
      </c>
      <c r="H25" s="13">
        <v>39.979999999999997</v>
      </c>
      <c r="I25" s="14" t="s">
        <v>89</v>
      </c>
      <c r="J25" s="14">
        <v>21</v>
      </c>
      <c r="K25" s="4"/>
    </row>
    <row r="26" spans="1:11">
      <c r="A26" s="19" t="s">
        <v>139</v>
      </c>
      <c r="B26" s="20" t="s">
        <v>140</v>
      </c>
      <c r="C26" s="10">
        <v>43442</v>
      </c>
      <c r="D26" s="10">
        <v>43446</v>
      </c>
      <c r="E26" s="4" t="s">
        <v>91</v>
      </c>
      <c r="F26" s="4" t="s">
        <v>108</v>
      </c>
      <c r="G26" s="20" t="s">
        <v>141</v>
      </c>
      <c r="H26" s="13">
        <v>1336.829</v>
      </c>
      <c r="I26" s="14" t="s">
        <v>89</v>
      </c>
      <c r="J26" s="14">
        <v>30</v>
      </c>
      <c r="K26" s="4"/>
    </row>
    <row r="27" spans="1:11">
      <c r="A27" s="19" t="s">
        <v>142</v>
      </c>
      <c r="B27" s="20" t="s">
        <v>140</v>
      </c>
      <c r="C27" s="10">
        <v>43442</v>
      </c>
      <c r="D27" s="10">
        <v>43446</v>
      </c>
      <c r="E27" s="4" t="s">
        <v>91</v>
      </c>
      <c r="F27" s="4" t="s">
        <v>108</v>
      </c>
      <c r="G27" s="20" t="s">
        <v>143</v>
      </c>
      <c r="H27" s="13">
        <v>113.568</v>
      </c>
      <c r="I27" s="14" t="s">
        <v>89</v>
      </c>
      <c r="J27" s="14">
        <v>31</v>
      </c>
      <c r="K27" s="4"/>
    </row>
    <row r="28" spans="1:11">
      <c r="A28" s="19" t="s">
        <v>144</v>
      </c>
      <c r="B28" s="20" t="s">
        <v>145</v>
      </c>
      <c r="C28" s="10">
        <v>43455</v>
      </c>
      <c r="D28" s="10">
        <v>43459</v>
      </c>
      <c r="E28" s="4" t="s">
        <v>86</v>
      </c>
      <c r="F28" s="4" t="s">
        <v>108</v>
      </c>
      <c r="G28" s="20" t="s">
        <v>146</v>
      </c>
      <c r="H28" s="13">
        <v>6.63</v>
      </c>
      <c r="I28" s="14" t="s">
        <v>89</v>
      </c>
      <c r="J28" s="14">
        <v>32</v>
      </c>
      <c r="K28" s="4"/>
    </row>
    <row r="29" spans="1:11">
      <c r="A29" s="19" t="s">
        <v>147</v>
      </c>
      <c r="B29" s="20" t="s">
        <v>145</v>
      </c>
      <c r="C29" s="10">
        <v>43455</v>
      </c>
      <c r="D29" s="10">
        <v>43459</v>
      </c>
      <c r="E29" s="4" t="s">
        <v>86</v>
      </c>
      <c r="F29" s="4" t="s">
        <v>108</v>
      </c>
      <c r="G29" s="20" t="s">
        <v>148</v>
      </c>
      <c r="H29" s="13">
        <v>5.88</v>
      </c>
      <c r="I29" s="14" t="s">
        <v>89</v>
      </c>
      <c r="J29" s="14">
        <v>33</v>
      </c>
      <c r="K29" s="4"/>
    </row>
    <row r="30" spans="1:11">
      <c r="A30" s="19" t="s">
        <v>149</v>
      </c>
      <c r="B30" s="20" t="s">
        <v>150</v>
      </c>
      <c r="C30" s="10">
        <v>43441</v>
      </c>
      <c r="D30" s="10">
        <v>43444</v>
      </c>
      <c r="E30" s="4" t="s">
        <v>107</v>
      </c>
      <c r="F30" s="4" t="s">
        <v>108</v>
      </c>
      <c r="G30" s="20" t="s">
        <v>151</v>
      </c>
      <c r="H30" s="13">
        <v>374.37599999999998</v>
      </c>
      <c r="I30" s="14" t="s">
        <v>89</v>
      </c>
      <c r="J30" s="14">
        <v>34</v>
      </c>
      <c r="K30" s="4"/>
    </row>
    <row r="31" spans="1:11">
      <c r="A31" s="19" t="s">
        <v>152</v>
      </c>
      <c r="B31" s="20" t="s">
        <v>153</v>
      </c>
      <c r="C31" s="10">
        <v>43462</v>
      </c>
      <c r="D31" s="10">
        <v>43469</v>
      </c>
      <c r="E31" s="4" t="s">
        <v>86</v>
      </c>
      <c r="F31" s="4" t="s">
        <v>97</v>
      </c>
      <c r="G31" s="20" t="s">
        <v>154</v>
      </c>
      <c r="H31" s="13">
        <v>72.45</v>
      </c>
      <c r="I31" s="14" t="s">
        <v>89</v>
      </c>
      <c r="J31" s="14">
        <v>35</v>
      </c>
      <c r="K31" s="4"/>
    </row>
    <row r="32" spans="1:11">
      <c r="A32" s="19" t="s">
        <v>155</v>
      </c>
      <c r="B32" s="20" t="s">
        <v>153</v>
      </c>
      <c r="C32" s="10">
        <v>43462</v>
      </c>
      <c r="D32" s="10">
        <v>43469</v>
      </c>
      <c r="E32" s="4" t="s">
        <v>86</v>
      </c>
      <c r="F32" s="4" t="s">
        <v>97</v>
      </c>
      <c r="G32" s="20" t="s">
        <v>156</v>
      </c>
      <c r="H32" s="13">
        <v>13.96</v>
      </c>
      <c r="I32" s="14" t="s">
        <v>89</v>
      </c>
      <c r="J32" s="14">
        <v>36</v>
      </c>
      <c r="K32" s="4"/>
    </row>
    <row r="33" spans="1:11">
      <c r="A33" s="19" t="s">
        <v>157</v>
      </c>
      <c r="B33" s="20" t="s">
        <v>153</v>
      </c>
      <c r="C33" s="10">
        <v>43462</v>
      </c>
      <c r="D33" s="10">
        <v>43469</v>
      </c>
      <c r="E33" s="4" t="s">
        <v>86</v>
      </c>
      <c r="F33" s="4" t="s">
        <v>97</v>
      </c>
      <c r="G33" s="20" t="s">
        <v>158</v>
      </c>
      <c r="H33" s="13">
        <v>33.264000000000003</v>
      </c>
      <c r="I33" s="14" t="s">
        <v>89</v>
      </c>
      <c r="J33" s="14">
        <v>37</v>
      </c>
      <c r="K33" s="4"/>
    </row>
    <row r="34" spans="1:11">
      <c r="A34" s="19" t="s">
        <v>159</v>
      </c>
      <c r="B34" s="20" t="s">
        <v>153</v>
      </c>
      <c r="C34" s="10">
        <v>43462</v>
      </c>
      <c r="D34" s="10">
        <v>43469</v>
      </c>
      <c r="E34" s="4" t="s">
        <v>107</v>
      </c>
      <c r="F34" s="4" t="s">
        <v>97</v>
      </c>
      <c r="G34" s="20" t="s">
        <v>160</v>
      </c>
      <c r="H34" s="13">
        <v>14.85</v>
      </c>
      <c r="I34" s="14" t="s">
        <v>89</v>
      </c>
      <c r="J34" s="14">
        <v>38</v>
      </c>
      <c r="K34" s="4"/>
    </row>
    <row r="35" spans="1:11">
      <c r="A35" s="19" t="s">
        <v>161</v>
      </c>
      <c r="B35" s="20" t="s">
        <v>162</v>
      </c>
      <c r="C35" s="10">
        <v>43435</v>
      </c>
      <c r="D35" s="10">
        <v>43439</v>
      </c>
      <c r="E35" s="4" t="s">
        <v>107</v>
      </c>
      <c r="F35" s="4" t="s">
        <v>108</v>
      </c>
      <c r="G35" s="20" t="s">
        <v>163</v>
      </c>
      <c r="H35" s="13">
        <v>470.37599999999998</v>
      </c>
      <c r="I35" s="14" t="s">
        <v>89</v>
      </c>
      <c r="J35" s="14">
        <v>39</v>
      </c>
      <c r="K35" s="4"/>
    </row>
    <row r="36" spans="1:11">
      <c r="A36" s="19" t="s">
        <v>164</v>
      </c>
      <c r="B36" s="19" t="s">
        <v>162</v>
      </c>
      <c r="C36" s="11">
        <v>43435</v>
      </c>
      <c r="D36" s="11">
        <v>43439</v>
      </c>
      <c r="E36" s="1" t="s">
        <v>107</v>
      </c>
      <c r="F36" s="1" t="s">
        <v>108</v>
      </c>
      <c r="G36" s="19" t="s">
        <v>165</v>
      </c>
      <c r="H36" s="13">
        <v>105.584</v>
      </c>
      <c r="I36" s="14" t="s">
        <v>89</v>
      </c>
      <c r="J36" s="14">
        <v>40</v>
      </c>
    </row>
    <row r="37" spans="1:11">
      <c r="A37" s="19" t="s">
        <v>166</v>
      </c>
      <c r="B37" s="19" t="s">
        <v>162</v>
      </c>
      <c r="C37" s="11">
        <v>43435</v>
      </c>
      <c r="D37" s="11">
        <v>43439</v>
      </c>
      <c r="E37" s="1" t="s">
        <v>86</v>
      </c>
      <c r="F37" s="1" t="s">
        <v>108</v>
      </c>
      <c r="G37" s="19" t="s">
        <v>167</v>
      </c>
      <c r="H37" s="13">
        <v>31.152000000000001</v>
      </c>
      <c r="I37" s="14" t="s">
        <v>89</v>
      </c>
      <c r="J37" s="14">
        <v>41</v>
      </c>
    </row>
    <row r="38" spans="1:11">
      <c r="A38" s="19" t="s">
        <v>168</v>
      </c>
      <c r="B38" s="19" t="s">
        <v>162</v>
      </c>
      <c r="C38" s="11">
        <v>43435</v>
      </c>
      <c r="D38" s="11">
        <v>43439</v>
      </c>
      <c r="E38" s="1" t="s">
        <v>86</v>
      </c>
      <c r="F38" s="1" t="s">
        <v>108</v>
      </c>
      <c r="G38" s="19" t="s">
        <v>169</v>
      </c>
      <c r="H38" s="13">
        <v>6.7830000000000004</v>
      </c>
      <c r="I38" s="14" t="s">
        <v>89</v>
      </c>
      <c r="J38" s="14">
        <v>42</v>
      </c>
    </row>
    <row r="39" spans="1:11">
      <c r="A39" s="19" t="s">
        <v>170</v>
      </c>
      <c r="B39" s="19" t="s">
        <v>162</v>
      </c>
      <c r="C39" s="11">
        <v>43435</v>
      </c>
      <c r="D39" s="11">
        <v>43439</v>
      </c>
      <c r="E39" s="1" t="s">
        <v>107</v>
      </c>
      <c r="F39" s="1" t="s">
        <v>108</v>
      </c>
      <c r="G39" s="19" t="s">
        <v>171</v>
      </c>
      <c r="H39" s="13">
        <v>406.36799999999999</v>
      </c>
      <c r="I39" s="14" t="s">
        <v>89</v>
      </c>
      <c r="J39" s="14">
        <v>43</v>
      </c>
    </row>
    <row r="40" spans="1:11">
      <c r="A40" s="19" t="s">
        <v>172</v>
      </c>
      <c r="B40" s="19" t="s">
        <v>173</v>
      </c>
      <c r="C40" s="11">
        <v>43451</v>
      </c>
      <c r="D40" s="11">
        <v>43455</v>
      </c>
      <c r="E40" s="1" t="s">
        <v>86</v>
      </c>
      <c r="F40" s="1" t="s">
        <v>108</v>
      </c>
      <c r="G40" s="19" t="s">
        <v>174</v>
      </c>
      <c r="H40" s="13">
        <v>15.24</v>
      </c>
      <c r="I40" s="14" t="s">
        <v>89</v>
      </c>
      <c r="J40" s="14">
        <v>44</v>
      </c>
    </row>
    <row r="41" spans="1:11">
      <c r="A41" s="19" t="s">
        <v>175</v>
      </c>
      <c r="B41" s="19" t="s">
        <v>173</v>
      </c>
      <c r="C41" s="11">
        <v>43451</v>
      </c>
      <c r="D41" s="11">
        <v>43455</v>
      </c>
      <c r="E41" s="1" t="s">
        <v>86</v>
      </c>
      <c r="F41" s="1" t="s">
        <v>108</v>
      </c>
      <c r="G41" s="19" t="s">
        <v>176</v>
      </c>
      <c r="H41" s="13">
        <v>13.23</v>
      </c>
      <c r="I41" s="14" t="s">
        <v>89</v>
      </c>
      <c r="J41" s="14">
        <v>45</v>
      </c>
    </row>
    <row r="42" spans="1:11">
      <c r="A42" s="19" t="s">
        <v>177</v>
      </c>
      <c r="B42" s="19" t="s">
        <v>178</v>
      </c>
      <c r="C42" s="11">
        <v>43464</v>
      </c>
      <c r="D42" s="11">
        <v>43470</v>
      </c>
      <c r="E42" s="1" t="s">
        <v>86</v>
      </c>
      <c r="F42" s="1" t="s">
        <v>87</v>
      </c>
      <c r="G42" s="19" t="s">
        <v>179</v>
      </c>
      <c r="H42" s="13">
        <v>209.3</v>
      </c>
      <c r="I42" s="14" t="s">
        <v>89</v>
      </c>
      <c r="J42" s="14">
        <v>46</v>
      </c>
    </row>
    <row r="43" spans="1:11">
      <c r="A43" s="19" t="s">
        <v>180</v>
      </c>
      <c r="B43" s="19" t="s">
        <v>181</v>
      </c>
      <c r="C43" s="11">
        <v>43439</v>
      </c>
      <c r="D43" s="11">
        <v>43442</v>
      </c>
      <c r="E43" s="1" t="s">
        <v>86</v>
      </c>
      <c r="F43" s="1" t="s">
        <v>87</v>
      </c>
      <c r="G43" s="19" t="s">
        <v>182</v>
      </c>
      <c r="H43" s="13">
        <v>61.44</v>
      </c>
      <c r="I43" s="14" t="s">
        <v>89</v>
      </c>
      <c r="J43" s="14">
        <v>47</v>
      </c>
    </row>
    <row r="44" spans="1:11">
      <c r="A44" s="19" t="s">
        <v>183</v>
      </c>
      <c r="B44" s="19" t="s">
        <v>181</v>
      </c>
      <c r="C44" s="11">
        <v>43439</v>
      </c>
      <c r="D44" s="11">
        <v>43442</v>
      </c>
      <c r="E44" s="1" t="s">
        <v>86</v>
      </c>
      <c r="F44" s="1" t="s">
        <v>87</v>
      </c>
      <c r="G44" s="19" t="s">
        <v>184</v>
      </c>
      <c r="H44" s="13">
        <v>38.9</v>
      </c>
      <c r="I44" s="14" t="s">
        <v>89</v>
      </c>
      <c r="J44" s="14">
        <v>48</v>
      </c>
    </row>
    <row r="45" spans="1:11">
      <c r="A45" s="19" t="s">
        <v>185</v>
      </c>
      <c r="B45" s="19" t="s">
        <v>181</v>
      </c>
      <c r="C45" s="11">
        <v>43439</v>
      </c>
      <c r="D45" s="11">
        <v>43442</v>
      </c>
      <c r="E45" s="1" t="s">
        <v>107</v>
      </c>
      <c r="F45" s="1" t="s">
        <v>87</v>
      </c>
      <c r="G45" s="19" t="s">
        <v>186</v>
      </c>
      <c r="H45" s="13">
        <v>99.39</v>
      </c>
      <c r="I45" s="14" t="s">
        <v>89</v>
      </c>
      <c r="J45" s="14">
        <v>49</v>
      </c>
    </row>
    <row r="46" spans="1:11">
      <c r="A46" s="19" t="s">
        <v>187</v>
      </c>
      <c r="B46" s="19" t="s">
        <v>188</v>
      </c>
      <c r="C46" s="11">
        <v>43459</v>
      </c>
      <c r="D46" s="11">
        <v>43463</v>
      </c>
      <c r="E46" s="1" t="s">
        <v>91</v>
      </c>
      <c r="F46" s="1" t="s">
        <v>97</v>
      </c>
      <c r="G46" s="19" t="s">
        <v>189</v>
      </c>
      <c r="H46" s="13">
        <v>191.98400000000001</v>
      </c>
      <c r="I46" s="14" t="s">
        <v>89</v>
      </c>
      <c r="J46" s="14">
        <v>50</v>
      </c>
    </row>
    <row r="47" spans="1:11">
      <c r="A47" s="19" t="s">
        <v>190</v>
      </c>
      <c r="B47" s="19" t="s">
        <v>191</v>
      </c>
      <c r="C47" s="11">
        <v>43457</v>
      </c>
      <c r="D47" s="11">
        <v>43457</v>
      </c>
      <c r="E47" s="1" t="s">
        <v>86</v>
      </c>
      <c r="F47" s="1" t="s">
        <v>108</v>
      </c>
      <c r="G47" s="19" t="s">
        <v>192</v>
      </c>
      <c r="H47" s="13">
        <v>13.48</v>
      </c>
      <c r="I47" s="14" t="s">
        <v>89</v>
      </c>
      <c r="J47" s="14">
        <v>51</v>
      </c>
    </row>
    <row r="48" spans="1:11">
      <c r="A48" s="19" t="s">
        <v>193</v>
      </c>
      <c r="B48" s="19" t="s">
        <v>194</v>
      </c>
      <c r="C48" s="11">
        <v>43464</v>
      </c>
      <c r="D48" s="11">
        <v>43468</v>
      </c>
      <c r="E48" s="1" t="s">
        <v>91</v>
      </c>
      <c r="F48" s="1" t="s">
        <v>97</v>
      </c>
      <c r="G48" s="19" t="s">
        <v>195</v>
      </c>
      <c r="H48" s="13">
        <v>323.13600000000002</v>
      </c>
      <c r="I48" s="14" t="s">
        <v>89</v>
      </c>
      <c r="J48" s="14">
        <v>52</v>
      </c>
    </row>
    <row r="49" spans="1:10">
      <c r="A49" s="19" t="s">
        <v>196</v>
      </c>
      <c r="B49" s="19" t="s">
        <v>194</v>
      </c>
      <c r="C49" s="11">
        <v>43464</v>
      </c>
      <c r="D49" s="11">
        <v>43468</v>
      </c>
      <c r="E49" s="1" t="s">
        <v>107</v>
      </c>
      <c r="F49" s="1" t="s">
        <v>97</v>
      </c>
      <c r="G49" s="19" t="s">
        <v>197</v>
      </c>
      <c r="H49" s="13">
        <v>90.93</v>
      </c>
      <c r="I49" s="14" t="s">
        <v>89</v>
      </c>
      <c r="J49" s="14">
        <v>53</v>
      </c>
    </row>
    <row r="50" spans="1:10">
      <c r="A50" s="19" t="s">
        <v>198</v>
      </c>
      <c r="B50" s="19" t="s">
        <v>194</v>
      </c>
      <c r="C50" s="11">
        <v>43464</v>
      </c>
      <c r="D50" s="11">
        <v>43468</v>
      </c>
      <c r="E50" s="1" t="s">
        <v>86</v>
      </c>
      <c r="F50" s="1" t="s">
        <v>97</v>
      </c>
      <c r="G50" s="19" t="s">
        <v>199</v>
      </c>
      <c r="H50" s="13">
        <v>52.776000000000003</v>
      </c>
      <c r="I50" s="14" t="s">
        <v>89</v>
      </c>
      <c r="J50" s="14">
        <v>54</v>
      </c>
    </row>
    <row r="51" spans="1:10">
      <c r="A51" s="19" t="s">
        <v>200</v>
      </c>
      <c r="B51" s="19" t="s">
        <v>201</v>
      </c>
      <c r="C51" s="11">
        <v>43462</v>
      </c>
      <c r="D51" s="11">
        <v>43466</v>
      </c>
      <c r="E51" s="1" t="s">
        <v>86</v>
      </c>
      <c r="F51" s="1" t="s">
        <v>87</v>
      </c>
      <c r="G51" s="19" t="s">
        <v>202</v>
      </c>
      <c r="H51" s="13">
        <v>27.167999999999999</v>
      </c>
      <c r="I51" s="14" t="s">
        <v>89</v>
      </c>
      <c r="J51" s="14">
        <v>55</v>
      </c>
    </row>
    <row r="52" spans="1:10">
      <c r="A52" s="19" t="s">
        <v>203</v>
      </c>
      <c r="B52" s="19" t="s">
        <v>201</v>
      </c>
      <c r="C52" s="11">
        <v>43462</v>
      </c>
      <c r="D52" s="11">
        <v>43466</v>
      </c>
      <c r="E52" s="1" t="s">
        <v>91</v>
      </c>
      <c r="F52" s="1" t="s">
        <v>87</v>
      </c>
      <c r="G52" s="19" t="s">
        <v>204</v>
      </c>
      <c r="H52" s="13">
        <v>78.852800000000002</v>
      </c>
      <c r="I52" s="14" t="s">
        <v>89</v>
      </c>
      <c r="J52" s="14">
        <v>56</v>
      </c>
    </row>
    <row r="53" spans="1:10">
      <c r="A53" s="19" t="s">
        <v>205</v>
      </c>
      <c r="B53" s="19" t="s">
        <v>206</v>
      </c>
      <c r="C53" s="11">
        <v>43460</v>
      </c>
      <c r="D53" s="11">
        <v>43466</v>
      </c>
      <c r="E53" s="1" t="s">
        <v>86</v>
      </c>
      <c r="F53" s="1" t="s">
        <v>87</v>
      </c>
      <c r="G53" s="19" t="s">
        <v>207</v>
      </c>
      <c r="H53" s="13">
        <v>44.75</v>
      </c>
      <c r="I53" s="14" t="s">
        <v>89</v>
      </c>
      <c r="J53" s="14">
        <v>57</v>
      </c>
    </row>
    <row r="54" spans="1:10">
      <c r="A54" s="19" t="s">
        <v>208</v>
      </c>
      <c r="B54" s="19" t="s">
        <v>209</v>
      </c>
      <c r="C54" s="11">
        <v>43451</v>
      </c>
      <c r="D54" s="11">
        <v>43454</v>
      </c>
      <c r="E54" s="1" t="s">
        <v>86</v>
      </c>
      <c r="F54" s="1" t="s">
        <v>108</v>
      </c>
      <c r="G54" s="19" t="s">
        <v>210</v>
      </c>
      <c r="H54" s="13">
        <v>11.808</v>
      </c>
      <c r="I54" s="14" t="s">
        <v>89</v>
      </c>
      <c r="J54" s="14">
        <v>58</v>
      </c>
    </row>
    <row r="55" spans="1:10">
      <c r="A55" s="19" t="s">
        <v>211</v>
      </c>
      <c r="B55" s="19" t="s">
        <v>212</v>
      </c>
      <c r="C55" s="11">
        <v>43444</v>
      </c>
      <c r="D55" s="11">
        <v>43451</v>
      </c>
      <c r="E55" s="1" t="s">
        <v>86</v>
      </c>
      <c r="F55" s="1" t="s">
        <v>108</v>
      </c>
      <c r="G55" s="19" t="s">
        <v>213</v>
      </c>
      <c r="H55" s="13">
        <v>19.936</v>
      </c>
      <c r="I55" s="14" t="s">
        <v>89</v>
      </c>
      <c r="J55" s="14">
        <v>59</v>
      </c>
    </row>
    <row r="56" spans="1:10">
      <c r="A56" s="19" t="s">
        <v>214</v>
      </c>
      <c r="B56" s="19" t="s">
        <v>212</v>
      </c>
      <c r="C56" s="11">
        <v>43444</v>
      </c>
      <c r="D56" s="11">
        <v>43451</v>
      </c>
      <c r="E56" s="1" t="s">
        <v>86</v>
      </c>
      <c r="F56" s="1" t="s">
        <v>108</v>
      </c>
      <c r="G56" s="19" t="s">
        <v>215</v>
      </c>
      <c r="H56" s="13">
        <v>65.567999999999998</v>
      </c>
      <c r="I56" s="14" t="s">
        <v>89</v>
      </c>
      <c r="J56" s="14">
        <v>60</v>
      </c>
    </row>
    <row r="57" spans="1:10">
      <c r="A57" s="19" t="s">
        <v>216</v>
      </c>
      <c r="B57" s="19" t="s">
        <v>217</v>
      </c>
      <c r="C57" s="11">
        <v>43452</v>
      </c>
      <c r="D57" s="11">
        <v>43457</v>
      </c>
      <c r="E57" s="1" t="s">
        <v>86</v>
      </c>
      <c r="F57" s="1" t="s">
        <v>108</v>
      </c>
      <c r="G57" s="19" t="s">
        <v>218</v>
      </c>
      <c r="H57" s="13">
        <v>46.671999999999997</v>
      </c>
      <c r="I57" s="14" t="s">
        <v>89</v>
      </c>
      <c r="J57" s="14">
        <v>61</v>
      </c>
    </row>
    <row r="58" spans="1:10">
      <c r="A58" s="19" t="s">
        <v>219</v>
      </c>
      <c r="B58" s="19" t="s">
        <v>217</v>
      </c>
      <c r="C58" s="11">
        <v>43452</v>
      </c>
      <c r="D58" s="11">
        <v>43457</v>
      </c>
      <c r="E58" s="1" t="s">
        <v>91</v>
      </c>
      <c r="F58" s="1" t="s">
        <v>108</v>
      </c>
      <c r="G58" s="19" t="s">
        <v>220</v>
      </c>
      <c r="H58" s="13">
        <v>119.833</v>
      </c>
      <c r="I58" s="14" t="s">
        <v>221</v>
      </c>
      <c r="J58" s="14">
        <v>2</v>
      </c>
    </row>
    <row r="59" spans="1:10">
      <c r="A59" s="19" t="s">
        <v>222</v>
      </c>
      <c r="B59" s="19" t="s">
        <v>217</v>
      </c>
      <c r="C59" s="11">
        <v>43452</v>
      </c>
      <c r="D59" s="11">
        <v>43457</v>
      </c>
      <c r="E59" s="1" t="s">
        <v>107</v>
      </c>
      <c r="F59" s="1" t="s">
        <v>108</v>
      </c>
      <c r="G59" s="19" t="s">
        <v>223</v>
      </c>
      <c r="H59" s="13">
        <v>119.98</v>
      </c>
      <c r="I59" s="14" t="s">
        <v>221</v>
      </c>
      <c r="J59" s="14">
        <v>3</v>
      </c>
    </row>
    <row r="60" spans="1:10">
      <c r="A60" s="19" t="s">
        <v>224</v>
      </c>
      <c r="B60" s="19" t="s">
        <v>225</v>
      </c>
      <c r="C60" s="11">
        <v>43442</v>
      </c>
      <c r="D60" s="11">
        <v>43444</v>
      </c>
      <c r="E60" s="1" t="s">
        <v>91</v>
      </c>
      <c r="F60" s="1" t="s">
        <v>97</v>
      </c>
      <c r="G60" s="19" t="s">
        <v>226</v>
      </c>
      <c r="H60" s="13">
        <v>109.48</v>
      </c>
      <c r="I60" s="14" t="s">
        <v>221</v>
      </c>
      <c r="J60" s="14">
        <v>4</v>
      </c>
    </row>
    <row r="61" spans="1:10">
      <c r="A61" s="19" t="s">
        <v>227</v>
      </c>
      <c r="B61" s="19" t="s">
        <v>225</v>
      </c>
      <c r="C61" s="11">
        <v>43442</v>
      </c>
      <c r="D61" s="11">
        <v>43444</v>
      </c>
      <c r="E61" s="1" t="s">
        <v>86</v>
      </c>
      <c r="F61" s="1" t="s">
        <v>97</v>
      </c>
      <c r="G61" s="19" t="s">
        <v>228</v>
      </c>
      <c r="H61" s="13">
        <v>272.94</v>
      </c>
      <c r="I61" s="14" t="s">
        <v>221</v>
      </c>
      <c r="J61" s="14">
        <v>5</v>
      </c>
    </row>
    <row r="62" spans="1:10">
      <c r="A62" s="19" t="s">
        <v>229</v>
      </c>
      <c r="B62" s="19" t="s">
        <v>225</v>
      </c>
      <c r="C62" s="11">
        <v>43442</v>
      </c>
      <c r="D62" s="11">
        <v>43444</v>
      </c>
      <c r="E62" s="1" t="s">
        <v>86</v>
      </c>
      <c r="F62" s="1" t="s">
        <v>97</v>
      </c>
      <c r="G62" s="19" t="s">
        <v>230</v>
      </c>
      <c r="H62" s="13">
        <v>19.440000000000001</v>
      </c>
      <c r="I62" s="14" t="s">
        <v>221</v>
      </c>
      <c r="J62" s="14">
        <v>6</v>
      </c>
    </row>
    <row r="63" spans="1:10">
      <c r="A63" s="19" t="s">
        <v>231</v>
      </c>
      <c r="B63" s="19" t="s">
        <v>225</v>
      </c>
      <c r="C63" s="11">
        <v>43442</v>
      </c>
      <c r="D63" s="11">
        <v>43444</v>
      </c>
      <c r="E63" s="1" t="s">
        <v>86</v>
      </c>
      <c r="F63" s="1" t="s">
        <v>97</v>
      </c>
      <c r="G63" s="19" t="s">
        <v>232</v>
      </c>
      <c r="H63" s="13">
        <v>31.92</v>
      </c>
      <c r="I63" s="14" t="s">
        <v>221</v>
      </c>
      <c r="J63" s="14">
        <v>7</v>
      </c>
    </row>
    <row r="64" spans="1:10">
      <c r="A64" s="19" t="s">
        <v>233</v>
      </c>
      <c r="B64" s="19" t="s">
        <v>234</v>
      </c>
      <c r="C64" s="11">
        <v>43452</v>
      </c>
      <c r="D64" s="11">
        <v>43458</v>
      </c>
      <c r="E64" s="1" t="s">
        <v>86</v>
      </c>
      <c r="F64" s="1" t="s">
        <v>97</v>
      </c>
      <c r="G64" s="19" t="s">
        <v>235</v>
      </c>
      <c r="H64" s="13">
        <v>38.82</v>
      </c>
      <c r="I64" s="14" t="s">
        <v>221</v>
      </c>
      <c r="J64" s="14">
        <v>8</v>
      </c>
    </row>
    <row r="65" spans="1:10">
      <c r="A65" s="19" t="s">
        <v>236</v>
      </c>
      <c r="B65" s="19" t="s">
        <v>234</v>
      </c>
      <c r="C65" s="11">
        <v>43452</v>
      </c>
      <c r="D65" s="11">
        <v>43458</v>
      </c>
      <c r="E65" s="1" t="s">
        <v>91</v>
      </c>
      <c r="F65" s="1" t="s">
        <v>97</v>
      </c>
      <c r="G65" s="19" t="s">
        <v>237</v>
      </c>
      <c r="H65" s="13">
        <v>1141.9380000000001</v>
      </c>
      <c r="I65" s="14" t="s">
        <v>221</v>
      </c>
      <c r="J65" s="14">
        <v>9</v>
      </c>
    </row>
    <row r="66" spans="1:10">
      <c r="A66" s="19" t="s">
        <v>238</v>
      </c>
      <c r="B66" s="19" t="s">
        <v>234</v>
      </c>
      <c r="C66" s="11">
        <v>43452</v>
      </c>
      <c r="D66" s="11">
        <v>43458</v>
      </c>
      <c r="E66" s="1" t="s">
        <v>86</v>
      </c>
      <c r="F66" s="1" t="s">
        <v>97</v>
      </c>
      <c r="G66" s="19" t="s">
        <v>239</v>
      </c>
      <c r="H66" s="13">
        <v>1704.56</v>
      </c>
      <c r="I66" s="14" t="s">
        <v>221</v>
      </c>
      <c r="J66" s="14">
        <v>10</v>
      </c>
    </row>
    <row r="67" spans="1:10">
      <c r="A67" s="19" t="s">
        <v>240</v>
      </c>
      <c r="B67" s="19" t="s">
        <v>234</v>
      </c>
      <c r="C67" s="11">
        <v>43452</v>
      </c>
      <c r="D67" s="11">
        <v>43458</v>
      </c>
      <c r="E67" s="1" t="s">
        <v>86</v>
      </c>
      <c r="F67" s="1" t="s">
        <v>97</v>
      </c>
      <c r="G67" s="19" t="s">
        <v>241</v>
      </c>
      <c r="H67" s="13">
        <v>3.2</v>
      </c>
      <c r="I67" s="14" t="s">
        <v>221</v>
      </c>
      <c r="J67" s="14">
        <v>11</v>
      </c>
    </row>
    <row r="68" spans="1:10">
      <c r="A68" s="19" t="s">
        <v>242</v>
      </c>
      <c r="B68" s="19" t="s">
        <v>243</v>
      </c>
      <c r="C68" s="11">
        <v>43464</v>
      </c>
      <c r="D68" s="11">
        <v>43468</v>
      </c>
      <c r="E68" s="1" t="s">
        <v>86</v>
      </c>
      <c r="F68" s="1" t="s">
        <v>108</v>
      </c>
      <c r="G68" s="19" t="s">
        <v>244</v>
      </c>
      <c r="H68" s="13">
        <v>13.904</v>
      </c>
      <c r="I68" s="14" t="s">
        <v>221</v>
      </c>
      <c r="J68" s="14">
        <v>12</v>
      </c>
    </row>
    <row r="69" spans="1:10">
      <c r="A69" s="19" t="s">
        <v>245</v>
      </c>
      <c r="B69" s="19" t="s">
        <v>243</v>
      </c>
      <c r="C69" s="11">
        <v>43464</v>
      </c>
      <c r="D69" s="11">
        <v>43468</v>
      </c>
      <c r="E69" s="1" t="s">
        <v>86</v>
      </c>
      <c r="F69" s="1" t="s">
        <v>108</v>
      </c>
      <c r="G69" s="19" t="s">
        <v>246</v>
      </c>
      <c r="H69" s="13">
        <v>20.72</v>
      </c>
      <c r="I69" s="14" t="s">
        <v>221</v>
      </c>
      <c r="J69" s="14">
        <v>13</v>
      </c>
    </row>
    <row r="70" spans="1:10">
      <c r="A70" s="19" t="s">
        <v>247</v>
      </c>
      <c r="B70" s="19" t="s">
        <v>248</v>
      </c>
      <c r="C70" s="11">
        <v>43444</v>
      </c>
      <c r="D70" s="11">
        <v>43448</v>
      </c>
      <c r="E70" s="1" t="s">
        <v>107</v>
      </c>
      <c r="F70" s="1" t="s">
        <v>97</v>
      </c>
      <c r="G70" s="19" t="s">
        <v>249</v>
      </c>
      <c r="H70" s="13">
        <v>14.2</v>
      </c>
      <c r="I70" s="14" t="s">
        <v>221</v>
      </c>
      <c r="J70" s="14">
        <v>14</v>
      </c>
    </row>
    <row r="71" spans="1:10">
      <c r="A71" s="19" t="s">
        <v>250</v>
      </c>
      <c r="B71" s="19" t="s">
        <v>251</v>
      </c>
      <c r="C71" s="11">
        <v>43453</v>
      </c>
      <c r="D71" s="11">
        <v>43458</v>
      </c>
      <c r="E71" s="1" t="s">
        <v>86</v>
      </c>
      <c r="F71" s="1" t="s">
        <v>108</v>
      </c>
      <c r="G71" s="19" t="s">
        <v>252</v>
      </c>
      <c r="H71" s="13">
        <v>36.671999999999997</v>
      </c>
      <c r="I71" s="14" t="s">
        <v>221</v>
      </c>
      <c r="J71" s="14">
        <v>15</v>
      </c>
    </row>
    <row r="72" spans="1:10">
      <c r="A72" s="19" t="s">
        <v>253</v>
      </c>
      <c r="B72" s="19" t="s">
        <v>254</v>
      </c>
      <c r="C72" s="11">
        <v>43443</v>
      </c>
      <c r="D72" s="11">
        <v>43447</v>
      </c>
      <c r="E72" s="1" t="s">
        <v>91</v>
      </c>
      <c r="F72" s="1" t="s">
        <v>87</v>
      </c>
      <c r="G72" s="19" t="s">
        <v>255</v>
      </c>
      <c r="H72" s="13">
        <v>872.94</v>
      </c>
      <c r="I72" s="14" t="s">
        <v>221</v>
      </c>
      <c r="J72" s="14">
        <v>16</v>
      </c>
    </row>
    <row r="73" spans="1:10">
      <c r="A73" s="19" t="s">
        <v>256</v>
      </c>
      <c r="B73" s="19" t="s">
        <v>254</v>
      </c>
      <c r="C73" s="11">
        <v>43443</v>
      </c>
      <c r="D73" s="11">
        <v>43447</v>
      </c>
      <c r="E73" s="1" t="s">
        <v>86</v>
      </c>
      <c r="F73" s="1" t="s">
        <v>87</v>
      </c>
      <c r="G73" s="19" t="s">
        <v>257</v>
      </c>
      <c r="H73" s="13">
        <v>41.54</v>
      </c>
      <c r="I73" s="14" t="s">
        <v>221</v>
      </c>
      <c r="J73" s="14">
        <v>17</v>
      </c>
    </row>
    <row r="74" spans="1:10">
      <c r="A74" s="19" t="s">
        <v>258</v>
      </c>
      <c r="B74" s="19" t="s">
        <v>254</v>
      </c>
      <c r="C74" s="11">
        <v>43443</v>
      </c>
      <c r="D74" s="11">
        <v>43447</v>
      </c>
      <c r="E74" s="1" t="s">
        <v>86</v>
      </c>
      <c r="F74" s="1" t="s">
        <v>87</v>
      </c>
      <c r="G74" s="19" t="s">
        <v>259</v>
      </c>
      <c r="H74" s="13">
        <v>12.96</v>
      </c>
      <c r="I74" s="14" t="s">
        <v>221</v>
      </c>
      <c r="J74" s="14">
        <v>18</v>
      </c>
    </row>
    <row r="75" spans="1:10">
      <c r="A75" s="19" t="s">
        <v>260</v>
      </c>
      <c r="B75" s="19" t="s">
        <v>261</v>
      </c>
      <c r="C75" s="11">
        <v>43458</v>
      </c>
      <c r="D75" s="11">
        <v>43463</v>
      </c>
      <c r="E75" s="1" t="s">
        <v>86</v>
      </c>
      <c r="F75" s="1" t="s">
        <v>97</v>
      </c>
      <c r="G75" s="19" t="s">
        <v>262</v>
      </c>
      <c r="H75" s="13">
        <v>17.88</v>
      </c>
      <c r="I75" s="14" t="s">
        <v>221</v>
      </c>
      <c r="J75" s="14">
        <v>19</v>
      </c>
    </row>
    <row r="76" spans="1:10">
      <c r="A76" s="19" t="s">
        <v>263</v>
      </c>
      <c r="B76" s="19" t="s">
        <v>264</v>
      </c>
      <c r="C76" s="11">
        <v>43444</v>
      </c>
      <c r="D76" s="11">
        <v>43444</v>
      </c>
      <c r="E76" s="1" t="s">
        <v>86</v>
      </c>
      <c r="F76" s="1" t="s">
        <v>87</v>
      </c>
      <c r="G76" s="19" t="s">
        <v>265</v>
      </c>
      <c r="H76" s="13">
        <v>34.5</v>
      </c>
      <c r="I76" s="14" t="s">
        <v>221</v>
      </c>
      <c r="J76" s="14">
        <v>20</v>
      </c>
    </row>
    <row r="77" spans="1:10">
      <c r="A77" s="19" t="s">
        <v>266</v>
      </c>
      <c r="B77" s="19" t="s">
        <v>267</v>
      </c>
      <c r="C77" s="11">
        <v>43445</v>
      </c>
      <c r="D77" s="11">
        <v>43451</v>
      </c>
      <c r="E77" s="1" t="s">
        <v>91</v>
      </c>
      <c r="F77" s="1" t="s">
        <v>97</v>
      </c>
      <c r="G77" s="19" t="s">
        <v>268</v>
      </c>
      <c r="H77" s="13">
        <v>63.686</v>
      </c>
      <c r="I77" s="14" t="s">
        <v>221</v>
      </c>
      <c r="J77" s="14">
        <v>21</v>
      </c>
    </row>
    <row r="78" spans="1:10">
      <c r="A78" s="19" t="s">
        <v>269</v>
      </c>
      <c r="B78" s="19" t="s">
        <v>270</v>
      </c>
      <c r="C78" s="11">
        <v>43444</v>
      </c>
      <c r="D78" s="11">
        <v>43448</v>
      </c>
      <c r="E78" s="1" t="s">
        <v>91</v>
      </c>
      <c r="F78" s="1" t="s">
        <v>108</v>
      </c>
      <c r="G78" s="19" t="s">
        <v>271</v>
      </c>
      <c r="H78" s="13">
        <v>1669.6</v>
      </c>
      <c r="I78" s="14" t="s">
        <v>221</v>
      </c>
      <c r="J78" s="14">
        <v>22</v>
      </c>
    </row>
    <row r="79" spans="1:10">
      <c r="A79" s="19" t="s">
        <v>272</v>
      </c>
      <c r="B79" s="19" t="s">
        <v>273</v>
      </c>
      <c r="C79" s="11">
        <v>43455</v>
      </c>
      <c r="D79" s="11">
        <v>43459</v>
      </c>
      <c r="E79" s="1" t="s">
        <v>86</v>
      </c>
      <c r="F79" s="1" t="s">
        <v>108</v>
      </c>
      <c r="G79" s="19" t="s">
        <v>274</v>
      </c>
      <c r="H79" s="13">
        <v>1000.02</v>
      </c>
      <c r="I79" s="14" t="s">
        <v>221</v>
      </c>
      <c r="J79" s="14">
        <v>23</v>
      </c>
    </row>
    <row r="80" spans="1:10">
      <c r="A80" s="19" t="s">
        <v>275</v>
      </c>
      <c r="B80" s="19" t="s">
        <v>276</v>
      </c>
      <c r="C80" s="11">
        <v>43444</v>
      </c>
      <c r="D80" s="11">
        <v>43446</v>
      </c>
      <c r="E80" s="1" t="s">
        <v>86</v>
      </c>
      <c r="F80" s="1" t="s">
        <v>97</v>
      </c>
      <c r="G80" s="19" t="s">
        <v>277</v>
      </c>
      <c r="H80" s="13">
        <v>10.368</v>
      </c>
      <c r="I80" s="14" t="s">
        <v>221</v>
      </c>
      <c r="J80" s="14">
        <v>24</v>
      </c>
    </row>
    <row r="81" spans="1:10">
      <c r="A81" s="19" t="s">
        <v>278</v>
      </c>
      <c r="B81" s="19" t="s">
        <v>276</v>
      </c>
      <c r="C81" s="11">
        <v>43444</v>
      </c>
      <c r="D81" s="11">
        <v>43446</v>
      </c>
      <c r="E81" s="1" t="s">
        <v>91</v>
      </c>
      <c r="F81" s="1" t="s">
        <v>97</v>
      </c>
      <c r="G81" s="19" t="s">
        <v>279</v>
      </c>
      <c r="H81" s="13">
        <v>310.88</v>
      </c>
      <c r="I81" s="14" t="s">
        <v>221</v>
      </c>
      <c r="J81" s="14">
        <v>25</v>
      </c>
    </row>
    <row r="82" spans="1:10">
      <c r="A82" s="19" t="s">
        <v>280</v>
      </c>
      <c r="B82" s="19" t="s">
        <v>281</v>
      </c>
      <c r="C82" s="11">
        <v>43443</v>
      </c>
      <c r="D82" s="11">
        <v>43449</v>
      </c>
      <c r="E82" s="1" t="s">
        <v>86</v>
      </c>
      <c r="F82" s="1" t="s">
        <v>87</v>
      </c>
      <c r="G82" s="19" t="s">
        <v>282</v>
      </c>
      <c r="H82" s="13">
        <v>33.450000000000003</v>
      </c>
      <c r="I82" s="14" t="s">
        <v>221</v>
      </c>
      <c r="J82" s="14">
        <v>26</v>
      </c>
    </row>
    <row r="83" spans="1:10">
      <c r="A83" s="19" t="s">
        <v>283</v>
      </c>
      <c r="B83" s="19" t="s">
        <v>281</v>
      </c>
      <c r="C83" s="11">
        <v>43443</v>
      </c>
      <c r="D83" s="11">
        <v>43449</v>
      </c>
      <c r="E83" s="1" t="s">
        <v>86</v>
      </c>
      <c r="F83" s="1" t="s">
        <v>87</v>
      </c>
      <c r="G83" s="19" t="s">
        <v>88</v>
      </c>
      <c r="H83" s="13">
        <v>10.4</v>
      </c>
      <c r="I83" s="14" t="s">
        <v>221</v>
      </c>
      <c r="J83" s="14">
        <v>27</v>
      </c>
    </row>
    <row r="84" spans="1:10">
      <c r="A84" s="19" t="s">
        <v>284</v>
      </c>
      <c r="B84" s="19" t="s">
        <v>285</v>
      </c>
      <c r="C84" s="11">
        <v>43436</v>
      </c>
      <c r="D84" s="11">
        <v>43439</v>
      </c>
      <c r="E84" s="1" t="s">
        <v>86</v>
      </c>
      <c r="F84" s="1" t="s">
        <v>108</v>
      </c>
      <c r="G84" s="19" t="s">
        <v>286</v>
      </c>
      <c r="H84" s="13">
        <v>559.62</v>
      </c>
      <c r="I84" s="14" t="s">
        <v>221</v>
      </c>
      <c r="J84" s="14">
        <v>28</v>
      </c>
    </row>
    <row r="85" spans="1:10">
      <c r="A85" s="19" t="s">
        <v>287</v>
      </c>
      <c r="B85" s="19" t="s">
        <v>285</v>
      </c>
      <c r="C85" s="11">
        <v>43436</v>
      </c>
      <c r="D85" s="11">
        <v>43439</v>
      </c>
      <c r="E85" s="1" t="s">
        <v>86</v>
      </c>
      <c r="F85" s="1" t="s">
        <v>108</v>
      </c>
      <c r="G85" s="19" t="s">
        <v>288</v>
      </c>
      <c r="H85" s="13">
        <v>109.92</v>
      </c>
      <c r="I85" s="14" t="s">
        <v>221</v>
      </c>
      <c r="J85" s="14">
        <v>29</v>
      </c>
    </row>
    <row r="86" spans="1:10">
      <c r="A86" s="19" t="s">
        <v>289</v>
      </c>
      <c r="B86" s="19" t="s">
        <v>285</v>
      </c>
      <c r="C86" s="11">
        <v>43436</v>
      </c>
      <c r="D86" s="11">
        <v>43439</v>
      </c>
      <c r="E86" s="1" t="s">
        <v>86</v>
      </c>
      <c r="F86" s="1" t="s">
        <v>108</v>
      </c>
      <c r="G86" s="19" t="s">
        <v>290</v>
      </c>
      <c r="H86" s="13">
        <v>8.56</v>
      </c>
      <c r="I86" s="14" t="s">
        <v>221</v>
      </c>
      <c r="J86" s="14">
        <v>30</v>
      </c>
    </row>
    <row r="87" spans="1:10">
      <c r="A87" s="19" t="s">
        <v>291</v>
      </c>
      <c r="B87" s="19" t="s">
        <v>292</v>
      </c>
      <c r="C87" s="11">
        <v>43463</v>
      </c>
      <c r="D87" s="11">
        <v>43467</v>
      </c>
      <c r="E87" s="1" t="s">
        <v>91</v>
      </c>
      <c r="F87" s="1" t="s">
        <v>108</v>
      </c>
      <c r="G87" s="19" t="s">
        <v>293</v>
      </c>
      <c r="H87" s="13">
        <v>393.56799999999998</v>
      </c>
      <c r="I87" s="14" t="s">
        <v>221</v>
      </c>
      <c r="J87" s="14">
        <v>31</v>
      </c>
    </row>
    <row r="88" spans="1:10">
      <c r="A88" s="19" t="s">
        <v>294</v>
      </c>
      <c r="B88" s="19" t="s">
        <v>292</v>
      </c>
      <c r="C88" s="11">
        <v>43463</v>
      </c>
      <c r="D88" s="11">
        <v>43467</v>
      </c>
      <c r="E88" s="1" t="s">
        <v>107</v>
      </c>
      <c r="F88" s="1" t="s">
        <v>108</v>
      </c>
      <c r="G88" s="19" t="s">
        <v>295</v>
      </c>
      <c r="H88" s="13">
        <v>302.37599999999998</v>
      </c>
      <c r="I88" s="14" t="s">
        <v>221</v>
      </c>
      <c r="J88" s="14">
        <v>32</v>
      </c>
    </row>
    <row r="89" spans="1:10">
      <c r="A89" s="19" t="s">
        <v>296</v>
      </c>
      <c r="B89" s="19" t="s">
        <v>297</v>
      </c>
      <c r="C89" s="11">
        <v>43456</v>
      </c>
      <c r="D89" s="11">
        <v>43458</v>
      </c>
      <c r="E89" s="1" t="s">
        <v>86</v>
      </c>
      <c r="F89" s="1" t="s">
        <v>298</v>
      </c>
      <c r="G89" s="19" t="s">
        <v>299</v>
      </c>
      <c r="H89" s="13">
        <v>7.8239999999999998</v>
      </c>
      <c r="I89" s="14" t="s">
        <v>221</v>
      </c>
      <c r="J89" s="14">
        <v>33</v>
      </c>
    </row>
    <row r="90" spans="1:10">
      <c r="A90" s="19" t="s">
        <v>300</v>
      </c>
      <c r="B90" s="19" t="s">
        <v>301</v>
      </c>
      <c r="C90" s="11">
        <v>43436</v>
      </c>
      <c r="D90" s="11">
        <v>43439</v>
      </c>
      <c r="E90" s="1" t="s">
        <v>86</v>
      </c>
      <c r="F90" s="1" t="s">
        <v>298</v>
      </c>
      <c r="G90" s="19" t="s">
        <v>302</v>
      </c>
      <c r="H90" s="13">
        <v>34.65</v>
      </c>
      <c r="I90" s="14" t="s">
        <v>221</v>
      </c>
      <c r="J90" s="14">
        <v>34</v>
      </c>
    </row>
    <row r="91" spans="1:10">
      <c r="A91" s="19" t="s">
        <v>303</v>
      </c>
      <c r="B91" s="19" t="s">
        <v>304</v>
      </c>
      <c r="C91" s="11">
        <v>43452</v>
      </c>
      <c r="D91" s="11">
        <v>43457</v>
      </c>
      <c r="E91" s="1" t="s">
        <v>91</v>
      </c>
      <c r="F91" s="1" t="s">
        <v>97</v>
      </c>
      <c r="G91" s="19" t="s">
        <v>305</v>
      </c>
      <c r="H91" s="13">
        <v>18.96</v>
      </c>
      <c r="I91" s="14" t="s">
        <v>221</v>
      </c>
      <c r="J91" s="14">
        <v>35</v>
      </c>
    </row>
    <row r="92" spans="1:10">
      <c r="A92" s="19" t="s">
        <v>306</v>
      </c>
      <c r="B92" s="19" t="s">
        <v>307</v>
      </c>
      <c r="C92" s="11">
        <v>43439</v>
      </c>
      <c r="D92" s="11">
        <v>43441</v>
      </c>
      <c r="E92" s="1" t="s">
        <v>86</v>
      </c>
      <c r="F92" s="1" t="s">
        <v>108</v>
      </c>
      <c r="G92" s="19" t="s">
        <v>308</v>
      </c>
      <c r="H92" s="13">
        <v>92.94</v>
      </c>
      <c r="I92" s="14" t="s">
        <v>221</v>
      </c>
      <c r="J92" s="14">
        <v>36</v>
      </c>
    </row>
    <row r="93" spans="1:10">
      <c r="A93" s="19" t="s">
        <v>309</v>
      </c>
      <c r="B93" s="19" t="s">
        <v>310</v>
      </c>
      <c r="C93" s="11">
        <v>43455</v>
      </c>
      <c r="D93" s="11">
        <v>43462</v>
      </c>
      <c r="E93" s="1" t="s">
        <v>107</v>
      </c>
      <c r="F93" s="1" t="s">
        <v>97</v>
      </c>
      <c r="G93" s="19" t="s">
        <v>311</v>
      </c>
      <c r="H93" s="13">
        <v>281.97000000000003</v>
      </c>
      <c r="I93" s="14" t="s">
        <v>221</v>
      </c>
      <c r="J93" s="14">
        <v>37</v>
      </c>
    </row>
    <row r="94" spans="1:10">
      <c r="A94" s="19" t="s">
        <v>312</v>
      </c>
      <c r="B94" s="19" t="s">
        <v>310</v>
      </c>
      <c r="C94" s="11">
        <v>43455</v>
      </c>
      <c r="D94" s="11">
        <v>43462</v>
      </c>
      <c r="E94" s="1" t="s">
        <v>86</v>
      </c>
      <c r="F94" s="1" t="s">
        <v>97</v>
      </c>
      <c r="G94" s="19" t="s">
        <v>313</v>
      </c>
      <c r="H94" s="13">
        <v>69.5</v>
      </c>
      <c r="I94" s="14" t="s">
        <v>221</v>
      </c>
      <c r="J94" s="14">
        <v>38</v>
      </c>
    </row>
    <row r="95" spans="1:10">
      <c r="A95" s="19" t="s">
        <v>314</v>
      </c>
      <c r="B95" s="19" t="s">
        <v>310</v>
      </c>
      <c r="C95" s="11">
        <v>43455</v>
      </c>
      <c r="D95" s="11">
        <v>43462</v>
      </c>
      <c r="E95" s="1" t="s">
        <v>86</v>
      </c>
      <c r="F95" s="1" t="s">
        <v>97</v>
      </c>
      <c r="G95" s="19" t="s">
        <v>315</v>
      </c>
      <c r="H95" s="13">
        <v>166.44</v>
      </c>
      <c r="I95" s="14" t="s">
        <v>221</v>
      </c>
      <c r="J95" s="14">
        <v>39</v>
      </c>
    </row>
    <row r="96" spans="1:10">
      <c r="A96" s="19" t="s">
        <v>316</v>
      </c>
      <c r="B96" s="19" t="s">
        <v>317</v>
      </c>
      <c r="C96" s="11">
        <v>43436</v>
      </c>
      <c r="D96" s="11">
        <v>43438</v>
      </c>
      <c r="E96" s="1" t="s">
        <v>86</v>
      </c>
      <c r="F96" s="1" t="s">
        <v>87</v>
      </c>
      <c r="G96" s="19" t="s">
        <v>318</v>
      </c>
      <c r="H96" s="13">
        <v>294.62</v>
      </c>
      <c r="I96" s="14" t="s">
        <v>221</v>
      </c>
      <c r="J96" s="14">
        <v>40</v>
      </c>
    </row>
    <row r="97" spans="1:10">
      <c r="A97" s="19" t="s">
        <v>319</v>
      </c>
      <c r="B97" s="19" t="s">
        <v>317</v>
      </c>
      <c r="C97" s="11">
        <v>43436</v>
      </c>
      <c r="D97" s="11">
        <v>43438</v>
      </c>
      <c r="E97" s="1" t="s">
        <v>91</v>
      </c>
      <c r="F97" s="1" t="s">
        <v>87</v>
      </c>
      <c r="G97" s="19" t="s">
        <v>320</v>
      </c>
      <c r="H97" s="13">
        <v>8.7520000000000007</v>
      </c>
      <c r="I97" s="14" t="s">
        <v>221</v>
      </c>
      <c r="J97" s="14">
        <v>41</v>
      </c>
    </row>
    <row r="98" spans="1:10">
      <c r="A98" s="19" t="s">
        <v>321</v>
      </c>
      <c r="B98" s="19" t="s">
        <v>322</v>
      </c>
      <c r="C98" s="11">
        <v>43459</v>
      </c>
      <c r="D98" s="11">
        <v>43462</v>
      </c>
      <c r="E98" s="1" t="s">
        <v>86</v>
      </c>
      <c r="F98" s="1" t="s">
        <v>298</v>
      </c>
      <c r="G98" s="19" t="s">
        <v>323</v>
      </c>
      <c r="H98" s="13">
        <v>95.94</v>
      </c>
      <c r="I98" s="14" t="s">
        <v>221</v>
      </c>
      <c r="J98" s="14">
        <v>42</v>
      </c>
    </row>
    <row r="99" spans="1:10">
      <c r="A99" s="19" t="s">
        <v>324</v>
      </c>
      <c r="B99" s="19" t="s">
        <v>322</v>
      </c>
      <c r="C99" s="11">
        <v>43459</v>
      </c>
      <c r="D99" s="11">
        <v>43462</v>
      </c>
      <c r="E99" s="1" t="s">
        <v>91</v>
      </c>
      <c r="F99" s="1" t="s">
        <v>298</v>
      </c>
      <c r="G99" s="19" t="s">
        <v>325</v>
      </c>
      <c r="H99" s="13">
        <v>304.45</v>
      </c>
      <c r="I99" s="14" t="s">
        <v>221</v>
      </c>
      <c r="J99" s="14">
        <v>43</v>
      </c>
    </row>
    <row r="100" spans="1:10">
      <c r="A100" s="19" t="s">
        <v>326</v>
      </c>
      <c r="B100" s="19" t="s">
        <v>327</v>
      </c>
      <c r="C100" s="11">
        <v>43456</v>
      </c>
      <c r="D100" s="11">
        <v>43459</v>
      </c>
      <c r="E100" s="1" t="s">
        <v>107</v>
      </c>
      <c r="F100" s="1" t="s">
        <v>87</v>
      </c>
      <c r="G100" s="19" t="s">
        <v>328</v>
      </c>
      <c r="H100" s="13">
        <v>199.95</v>
      </c>
      <c r="I100" s="14" t="s">
        <v>221</v>
      </c>
      <c r="J100" s="14">
        <v>44</v>
      </c>
    </row>
    <row r="101" spans="1:10">
      <c r="A101" s="19" t="s">
        <v>329</v>
      </c>
      <c r="B101" s="19" t="s">
        <v>327</v>
      </c>
      <c r="C101" s="11">
        <v>43456</v>
      </c>
      <c r="D101" s="11">
        <v>43459</v>
      </c>
      <c r="E101" s="1" t="s">
        <v>91</v>
      </c>
      <c r="F101" s="1" t="s">
        <v>87</v>
      </c>
      <c r="G101" s="19" t="s">
        <v>330</v>
      </c>
      <c r="H101" s="13">
        <v>1586.69</v>
      </c>
      <c r="I101" s="14" t="s">
        <v>221</v>
      </c>
      <c r="J101" s="14">
        <v>45</v>
      </c>
    </row>
    <row r="102" spans="1:10">
      <c r="A102" s="19" t="s">
        <v>331</v>
      </c>
      <c r="B102" s="19" t="s">
        <v>327</v>
      </c>
      <c r="C102" s="11">
        <v>43456</v>
      </c>
      <c r="D102" s="11">
        <v>43459</v>
      </c>
      <c r="E102" s="1" t="s">
        <v>107</v>
      </c>
      <c r="F102" s="1" t="s">
        <v>87</v>
      </c>
      <c r="G102" s="19" t="s">
        <v>332</v>
      </c>
      <c r="H102" s="13">
        <v>84.99</v>
      </c>
      <c r="I102" s="14" t="s">
        <v>221</v>
      </c>
      <c r="J102" s="14">
        <v>46</v>
      </c>
    </row>
    <row r="103" spans="1:10">
      <c r="A103" s="19" t="s">
        <v>333</v>
      </c>
      <c r="B103" s="19" t="s">
        <v>327</v>
      </c>
      <c r="C103" s="11">
        <v>43456</v>
      </c>
      <c r="D103" s="11">
        <v>43459</v>
      </c>
      <c r="E103" s="1" t="s">
        <v>91</v>
      </c>
      <c r="F103" s="1" t="s">
        <v>87</v>
      </c>
      <c r="G103" s="19" t="s">
        <v>334</v>
      </c>
      <c r="H103" s="13">
        <v>411.8</v>
      </c>
      <c r="I103" s="14" t="s">
        <v>221</v>
      </c>
      <c r="J103" s="14">
        <v>47</v>
      </c>
    </row>
    <row r="104" spans="1:10">
      <c r="A104" s="19" t="s">
        <v>335</v>
      </c>
      <c r="B104" s="19" t="s">
        <v>336</v>
      </c>
      <c r="C104" s="11">
        <v>43435</v>
      </c>
      <c r="D104" s="11">
        <v>43439</v>
      </c>
      <c r="E104" s="1" t="s">
        <v>86</v>
      </c>
      <c r="F104" s="1" t="s">
        <v>97</v>
      </c>
      <c r="G104" s="19" t="s">
        <v>337</v>
      </c>
      <c r="H104" s="13">
        <v>104.68</v>
      </c>
      <c r="I104" s="14" t="s">
        <v>221</v>
      </c>
      <c r="J104" s="14">
        <v>48</v>
      </c>
    </row>
    <row r="105" spans="1:10">
      <c r="A105" s="19" t="s">
        <v>338</v>
      </c>
      <c r="B105" s="19" t="s">
        <v>336</v>
      </c>
      <c r="C105" s="11">
        <v>43435</v>
      </c>
      <c r="D105" s="11">
        <v>43439</v>
      </c>
      <c r="E105" s="1" t="s">
        <v>107</v>
      </c>
      <c r="F105" s="1" t="s">
        <v>97</v>
      </c>
      <c r="G105" s="19" t="s">
        <v>339</v>
      </c>
      <c r="H105" s="13">
        <v>62.957999999999998</v>
      </c>
      <c r="I105" s="14" t="s">
        <v>221</v>
      </c>
      <c r="J105" s="14">
        <v>49</v>
      </c>
    </row>
    <row r="106" spans="1:10">
      <c r="A106" s="19" t="s">
        <v>340</v>
      </c>
      <c r="B106" s="19" t="s">
        <v>341</v>
      </c>
      <c r="C106" s="11">
        <v>43439</v>
      </c>
      <c r="D106" s="11">
        <v>43444</v>
      </c>
      <c r="E106" s="1" t="s">
        <v>107</v>
      </c>
      <c r="F106" s="1" t="s">
        <v>97</v>
      </c>
      <c r="G106" s="19" t="s">
        <v>342</v>
      </c>
      <c r="H106" s="13">
        <v>205.03</v>
      </c>
      <c r="I106" s="14" t="s">
        <v>221</v>
      </c>
      <c r="J106" s="14">
        <v>50</v>
      </c>
    </row>
    <row r="107" spans="1:10">
      <c r="A107" s="19" t="s">
        <v>343</v>
      </c>
      <c r="B107" s="19" t="s">
        <v>344</v>
      </c>
      <c r="C107" s="11">
        <v>43454</v>
      </c>
      <c r="D107" s="11">
        <v>43460</v>
      </c>
      <c r="E107" s="1" t="s">
        <v>86</v>
      </c>
      <c r="F107" s="1" t="s">
        <v>97</v>
      </c>
      <c r="G107" s="19" t="s">
        <v>345</v>
      </c>
      <c r="H107" s="13">
        <v>6.48</v>
      </c>
      <c r="I107" s="14" t="s">
        <v>221</v>
      </c>
      <c r="J107" s="14">
        <v>51</v>
      </c>
    </row>
    <row r="108" spans="1:10">
      <c r="A108" s="19" t="s">
        <v>346</v>
      </c>
      <c r="B108" s="19" t="s">
        <v>344</v>
      </c>
      <c r="C108" s="11">
        <v>43454</v>
      </c>
      <c r="D108" s="11">
        <v>43460</v>
      </c>
      <c r="E108" s="1" t="s">
        <v>86</v>
      </c>
      <c r="F108" s="1" t="s">
        <v>97</v>
      </c>
      <c r="G108" s="19" t="s">
        <v>347</v>
      </c>
      <c r="H108" s="13">
        <v>6.984</v>
      </c>
      <c r="I108" s="14" t="s">
        <v>221</v>
      </c>
      <c r="J108" s="14">
        <v>52</v>
      </c>
    </row>
    <row r="109" spans="1:10">
      <c r="A109" s="19" t="s">
        <v>348</v>
      </c>
      <c r="B109" s="19" t="s">
        <v>349</v>
      </c>
      <c r="C109" s="11">
        <v>43436</v>
      </c>
      <c r="D109" s="11">
        <v>43441</v>
      </c>
      <c r="E109" s="1" t="s">
        <v>86</v>
      </c>
      <c r="F109" s="1" t="s">
        <v>298</v>
      </c>
      <c r="G109" s="19" t="s">
        <v>350</v>
      </c>
      <c r="H109" s="13">
        <v>47.96</v>
      </c>
      <c r="I109" s="14" t="s">
        <v>221</v>
      </c>
      <c r="J109" s="14">
        <v>53</v>
      </c>
    </row>
    <row r="110" spans="1:10">
      <c r="A110" s="19" t="s">
        <v>351</v>
      </c>
      <c r="B110" s="19" t="s">
        <v>352</v>
      </c>
      <c r="C110" s="11">
        <v>43457</v>
      </c>
      <c r="D110" s="11">
        <v>43461</v>
      </c>
      <c r="E110" s="1" t="s">
        <v>91</v>
      </c>
      <c r="F110" s="1" t="s">
        <v>97</v>
      </c>
      <c r="G110" s="19" t="s">
        <v>353</v>
      </c>
      <c r="H110" s="13">
        <v>181.95</v>
      </c>
      <c r="I110" s="14" t="s">
        <v>221</v>
      </c>
      <c r="J110" s="14">
        <v>54</v>
      </c>
    </row>
    <row r="111" spans="1:10">
      <c r="A111" s="19" t="s">
        <v>354</v>
      </c>
      <c r="B111" s="19" t="s">
        <v>355</v>
      </c>
      <c r="C111" s="11">
        <v>43444</v>
      </c>
      <c r="D111" s="11">
        <v>43444</v>
      </c>
      <c r="E111" s="1" t="s">
        <v>86</v>
      </c>
      <c r="F111" s="1" t="s">
        <v>97</v>
      </c>
      <c r="G111" s="19" t="s">
        <v>356</v>
      </c>
      <c r="H111" s="13">
        <v>10.86</v>
      </c>
      <c r="I111" s="14" t="s">
        <v>221</v>
      </c>
      <c r="J111" s="14">
        <v>55</v>
      </c>
    </row>
    <row r="112" spans="1:10">
      <c r="A112" s="19" t="s">
        <v>357</v>
      </c>
      <c r="B112" s="19" t="s">
        <v>355</v>
      </c>
      <c r="C112" s="11">
        <v>43444</v>
      </c>
      <c r="D112" s="11">
        <v>43444</v>
      </c>
      <c r="E112" s="1" t="s">
        <v>86</v>
      </c>
      <c r="F112" s="1" t="s">
        <v>97</v>
      </c>
      <c r="G112" s="19" t="s">
        <v>358</v>
      </c>
      <c r="H112" s="13">
        <v>426.79</v>
      </c>
      <c r="I112" s="14" t="s">
        <v>221</v>
      </c>
      <c r="J112" s="14">
        <v>56</v>
      </c>
    </row>
    <row r="113" spans="1:10">
      <c r="A113" s="19" t="s">
        <v>359</v>
      </c>
      <c r="B113" s="19" t="s">
        <v>360</v>
      </c>
      <c r="C113" s="11">
        <v>43436</v>
      </c>
      <c r="D113" s="11">
        <v>43437</v>
      </c>
      <c r="E113" s="1" t="s">
        <v>86</v>
      </c>
      <c r="F113" s="1" t="s">
        <v>108</v>
      </c>
      <c r="G113" s="19" t="s">
        <v>361</v>
      </c>
      <c r="H113" s="13">
        <v>9.0239999999999991</v>
      </c>
      <c r="I113" s="14" t="s">
        <v>221</v>
      </c>
      <c r="J113" s="14">
        <v>57</v>
      </c>
    </row>
    <row r="114" spans="1:10">
      <c r="A114" s="19" t="s">
        <v>362</v>
      </c>
      <c r="B114" s="19" t="s">
        <v>360</v>
      </c>
      <c r="C114" s="11">
        <v>43436</v>
      </c>
      <c r="D114" s="11">
        <v>43437</v>
      </c>
      <c r="E114" s="1" t="s">
        <v>86</v>
      </c>
      <c r="F114" s="1" t="s">
        <v>108</v>
      </c>
      <c r="G114" s="19" t="s">
        <v>363</v>
      </c>
      <c r="H114" s="13">
        <v>69.456000000000003</v>
      </c>
      <c r="I114" s="14" t="s">
        <v>221</v>
      </c>
      <c r="J114" s="14">
        <v>58</v>
      </c>
    </row>
    <row r="115" spans="1:10">
      <c r="A115" s="19" t="s">
        <v>364</v>
      </c>
      <c r="B115" s="19" t="s">
        <v>360</v>
      </c>
      <c r="C115" s="11">
        <v>43436</v>
      </c>
      <c r="D115" s="11">
        <v>43437</v>
      </c>
      <c r="E115" s="1" t="s">
        <v>86</v>
      </c>
      <c r="F115" s="1" t="s">
        <v>108</v>
      </c>
      <c r="G115" s="19" t="s">
        <v>365</v>
      </c>
      <c r="H115" s="13">
        <v>10.86</v>
      </c>
      <c r="I115" s="14" t="s">
        <v>221</v>
      </c>
      <c r="J115" s="14">
        <v>59</v>
      </c>
    </row>
    <row r="116" spans="1:10">
      <c r="A116" s="19" t="s">
        <v>366</v>
      </c>
      <c r="B116" s="19" t="s">
        <v>360</v>
      </c>
      <c r="C116" s="11">
        <v>43436</v>
      </c>
      <c r="D116" s="11">
        <v>43437</v>
      </c>
      <c r="E116" s="1" t="s">
        <v>86</v>
      </c>
      <c r="F116" s="1" t="s">
        <v>108</v>
      </c>
      <c r="G116" s="19" t="s">
        <v>367</v>
      </c>
      <c r="H116" s="13">
        <v>79.47</v>
      </c>
      <c r="I116" s="14" t="s">
        <v>221</v>
      </c>
      <c r="J116" s="14">
        <v>60</v>
      </c>
    </row>
    <row r="117" spans="1:10">
      <c r="A117" s="19" t="s">
        <v>368</v>
      </c>
      <c r="B117" s="19" t="s">
        <v>360</v>
      </c>
      <c r="C117" s="11">
        <v>43436</v>
      </c>
      <c r="D117" s="11">
        <v>43437</v>
      </c>
      <c r="E117" s="1" t="s">
        <v>86</v>
      </c>
      <c r="F117" s="1" t="s">
        <v>108</v>
      </c>
      <c r="G117" s="19" t="s">
        <v>369</v>
      </c>
      <c r="H117" s="13">
        <v>10.08</v>
      </c>
      <c r="I117" s="14" t="s">
        <v>221</v>
      </c>
      <c r="J117" s="14">
        <v>61</v>
      </c>
    </row>
    <row r="118" spans="1:10">
      <c r="A118" s="19" t="s">
        <v>370</v>
      </c>
      <c r="B118" s="19" t="s">
        <v>371</v>
      </c>
      <c r="C118" s="11">
        <v>43459</v>
      </c>
      <c r="D118" s="11">
        <v>43464</v>
      </c>
      <c r="E118" s="1" t="s">
        <v>107</v>
      </c>
      <c r="F118" s="1" t="s">
        <v>97</v>
      </c>
      <c r="G118" s="19" t="s">
        <v>372</v>
      </c>
      <c r="H118" s="13">
        <v>158.928</v>
      </c>
      <c r="I118" s="14" t="s">
        <v>373</v>
      </c>
      <c r="J118" s="14">
        <v>2</v>
      </c>
    </row>
    <row r="119" spans="1:10">
      <c r="A119" s="19" t="s">
        <v>374</v>
      </c>
      <c r="B119" s="19" t="s">
        <v>371</v>
      </c>
      <c r="C119" s="11">
        <v>43459</v>
      </c>
      <c r="D119" s="11">
        <v>43464</v>
      </c>
      <c r="E119" s="1" t="s">
        <v>86</v>
      </c>
      <c r="F119" s="1" t="s">
        <v>97</v>
      </c>
      <c r="G119" s="19" t="s">
        <v>363</v>
      </c>
      <c r="H119" s="13">
        <v>13.023</v>
      </c>
      <c r="I119" s="14" t="s">
        <v>373</v>
      </c>
      <c r="J119" s="14">
        <v>3</v>
      </c>
    </row>
    <row r="120" spans="1:10">
      <c r="A120" s="19" t="s">
        <v>375</v>
      </c>
      <c r="B120" s="19" t="s">
        <v>371</v>
      </c>
      <c r="C120" s="11">
        <v>43459</v>
      </c>
      <c r="D120" s="11">
        <v>43464</v>
      </c>
      <c r="E120" s="1" t="s">
        <v>91</v>
      </c>
      <c r="F120" s="1" t="s">
        <v>97</v>
      </c>
      <c r="G120" s="19" t="s">
        <v>376</v>
      </c>
      <c r="H120" s="13">
        <v>273.06</v>
      </c>
      <c r="I120" s="14" t="s">
        <v>373</v>
      </c>
      <c r="J120" s="14">
        <v>4</v>
      </c>
    </row>
    <row r="121" spans="1:10">
      <c r="A121" s="19" t="s">
        <v>377</v>
      </c>
      <c r="B121" s="19" t="s">
        <v>371</v>
      </c>
      <c r="C121" s="11">
        <v>43459</v>
      </c>
      <c r="D121" s="11">
        <v>43464</v>
      </c>
      <c r="E121" s="1" t="s">
        <v>86</v>
      </c>
      <c r="F121" s="1" t="s">
        <v>97</v>
      </c>
      <c r="G121" s="19" t="s">
        <v>378</v>
      </c>
      <c r="H121" s="13">
        <v>39.311999999999998</v>
      </c>
      <c r="I121" s="14" t="s">
        <v>373</v>
      </c>
      <c r="J121" s="14">
        <v>5</v>
      </c>
    </row>
    <row r="122" spans="1:10">
      <c r="A122" s="19" t="s">
        <v>379</v>
      </c>
      <c r="B122" s="19" t="s">
        <v>380</v>
      </c>
      <c r="C122" s="11">
        <v>43462</v>
      </c>
      <c r="D122" s="11">
        <v>43467</v>
      </c>
      <c r="E122" s="1" t="s">
        <v>91</v>
      </c>
      <c r="F122" s="1" t="s">
        <v>108</v>
      </c>
      <c r="G122" s="19" t="s">
        <v>381</v>
      </c>
      <c r="H122" s="13">
        <v>7.4</v>
      </c>
      <c r="I122" s="14" t="s">
        <v>373</v>
      </c>
      <c r="J122" s="14">
        <v>6</v>
      </c>
    </row>
    <row r="123" spans="1:10">
      <c r="A123" s="19" t="s">
        <v>382</v>
      </c>
      <c r="B123" s="19" t="s">
        <v>383</v>
      </c>
      <c r="C123" s="11">
        <v>43437</v>
      </c>
      <c r="D123" s="11">
        <v>43443</v>
      </c>
      <c r="E123" s="1" t="s">
        <v>86</v>
      </c>
      <c r="F123" s="1" t="s">
        <v>97</v>
      </c>
      <c r="G123" s="19" t="s">
        <v>384</v>
      </c>
      <c r="H123" s="13">
        <v>83.92</v>
      </c>
      <c r="I123" s="14" t="s">
        <v>373</v>
      </c>
      <c r="J123" s="14">
        <v>7</v>
      </c>
    </row>
    <row r="124" spans="1:10">
      <c r="A124" s="19" t="s">
        <v>385</v>
      </c>
      <c r="B124" s="19" t="s">
        <v>383</v>
      </c>
      <c r="C124" s="11">
        <v>43437</v>
      </c>
      <c r="D124" s="11">
        <v>43443</v>
      </c>
      <c r="E124" s="1" t="s">
        <v>86</v>
      </c>
      <c r="F124" s="1" t="s">
        <v>97</v>
      </c>
      <c r="G124" s="19" t="s">
        <v>386</v>
      </c>
      <c r="H124" s="13">
        <v>14.624000000000001</v>
      </c>
      <c r="I124" s="14" t="s">
        <v>373</v>
      </c>
      <c r="J124" s="14">
        <v>8</v>
      </c>
    </row>
    <row r="125" spans="1:10">
      <c r="A125" s="19" t="s">
        <v>387</v>
      </c>
      <c r="B125" s="19" t="s">
        <v>383</v>
      </c>
      <c r="C125" s="11">
        <v>43437</v>
      </c>
      <c r="D125" s="11">
        <v>43443</v>
      </c>
      <c r="E125" s="1" t="s">
        <v>107</v>
      </c>
      <c r="F125" s="1" t="s">
        <v>97</v>
      </c>
      <c r="G125" s="19" t="s">
        <v>388</v>
      </c>
      <c r="H125" s="13">
        <v>136.99</v>
      </c>
      <c r="I125" s="14" t="s">
        <v>373</v>
      </c>
      <c r="J125" s="14">
        <v>9</v>
      </c>
    </row>
    <row r="126" spans="1:10">
      <c r="A126" s="19" t="s">
        <v>389</v>
      </c>
      <c r="B126" s="19" t="s">
        <v>383</v>
      </c>
      <c r="C126" s="11">
        <v>43437</v>
      </c>
      <c r="D126" s="11">
        <v>43443</v>
      </c>
      <c r="E126" s="1" t="s">
        <v>86</v>
      </c>
      <c r="F126" s="1" t="s">
        <v>97</v>
      </c>
      <c r="G126" s="19" t="s">
        <v>390</v>
      </c>
      <c r="H126" s="13">
        <v>3.15</v>
      </c>
      <c r="I126" s="14" t="s">
        <v>373</v>
      </c>
      <c r="J126" s="14">
        <v>10</v>
      </c>
    </row>
    <row r="127" spans="1:10">
      <c r="A127" s="19" t="s">
        <v>391</v>
      </c>
      <c r="B127" s="19" t="s">
        <v>392</v>
      </c>
      <c r="C127" s="11">
        <v>43458</v>
      </c>
      <c r="D127" s="11">
        <v>43465</v>
      </c>
      <c r="E127" s="1" t="s">
        <v>86</v>
      </c>
      <c r="F127" s="1" t="s">
        <v>108</v>
      </c>
      <c r="G127" s="19" t="s">
        <v>393</v>
      </c>
      <c r="H127" s="13">
        <v>1003.62</v>
      </c>
      <c r="I127" s="14" t="s">
        <v>373</v>
      </c>
      <c r="J127" s="14">
        <v>11</v>
      </c>
    </row>
    <row r="128" spans="1:10">
      <c r="A128" s="19" t="s">
        <v>394</v>
      </c>
      <c r="B128" s="19" t="s">
        <v>395</v>
      </c>
      <c r="C128" s="11">
        <v>43436</v>
      </c>
      <c r="D128" s="11">
        <v>43440</v>
      </c>
      <c r="E128" s="1" t="s">
        <v>86</v>
      </c>
      <c r="F128" s="1" t="s">
        <v>298</v>
      </c>
      <c r="G128" s="19" t="s">
        <v>396</v>
      </c>
      <c r="H128" s="13">
        <v>45.66</v>
      </c>
      <c r="I128" s="14" t="s">
        <v>373</v>
      </c>
      <c r="J128" s="14">
        <v>12</v>
      </c>
    </row>
    <row r="129" spans="1:10">
      <c r="A129" s="19" t="s">
        <v>397</v>
      </c>
      <c r="B129" s="19" t="s">
        <v>398</v>
      </c>
      <c r="C129" s="11">
        <v>43455</v>
      </c>
      <c r="D129" s="11">
        <v>43458</v>
      </c>
      <c r="E129" s="1" t="s">
        <v>107</v>
      </c>
      <c r="F129" s="1" t="s">
        <v>298</v>
      </c>
      <c r="G129" s="19" t="s">
        <v>249</v>
      </c>
      <c r="H129" s="13">
        <v>71</v>
      </c>
      <c r="I129" s="14" t="s">
        <v>373</v>
      </c>
      <c r="J129" s="14">
        <v>13</v>
      </c>
    </row>
    <row r="130" spans="1:10">
      <c r="A130" s="19" t="s">
        <v>399</v>
      </c>
      <c r="B130" s="19" t="s">
        <v>400</v>
      </c>
      <c r="C130" s="11">
        <v>43461</v>
      </c>
      <c r="D130" s="11">
        <v>43461</v>
      </c>
      <c r="E130" s="1" t="s">
        <v>107</v>
      </c>
      <c r="F130" s="1" t="s">
        <v>97</v>
      </c>
      <c r="G130" s="19" t="s">
        <v>388</v>
      </c>
      <c r="H130" s="13">
        <v>164.38800000000001</v>
      </c>
      <c r="I130" s="14" t="s">
        <v>373</v>
      </c>
      <c r="J130" s="14">
        <v>14</v>
      </c>
    </row>
    <row r="131" spans="1:10">
      <c r="A131" s="19" t="s">
        <v>401</v>
      </c>
      <c r="B131" s="19" t="s">
        <v>400</v>
      </c>
      <c r="C131" s="11">
        <v>43461</v>
      </c>
      <c r="D131" s="11">
        <v>43461</v>
      </c>
      <c r="E131" s="1" t="s">
        <v>86</v>
      </c>
      <c r="F131" s="1" t="s">
        <v>97</v>
      </c>
      <c r="G131" s="19" t="s">
        <v>402</v>
      </c>
      <c r="H131" s="13">
        <v>13.247999999999999</v>
      </c>
      <c r="I131" s="14" t="s">
        <v>373</v>
      </c>
      <c r="J131" s="14">
        <v>15</v>
      </c>
    </row>
    <row r="132" spans="1:10">
      <c r="A132" s="19" t="s">
        <v>403</v>
      </c>
      <c r="B132" s="19" t="s">
        <v>404</v>
      </c>
      <c r="C132" s="11">
        <v>43456</v>
      </c>
      <c r="D132" s="11">
        <v>43460</v>
      </c>
      <c r="E132" s="1" t="s">
        <v>86</v>
      </c>
      <c r="F132" s="1" t="s">
        <v>108</v>
      </c>
      <c r="G132" s="19" t="s">
        <v>405</v>
      </c>
      <c r="H132" s="13">
        <v>4.17</v>
      </c>
      <c r="I132" s="14" t="s">
        <v>373</v>
      </c>
      <c r="J132" s="14">
        <v>16</v>
      </c>
    </row>
    <row r="133" spans="1:10">
      <c r="A133" s="19" t="s">
        <v>406</v>
      </c>
      <c r="B133" s="19" t="s">
        <v>404</v>
      </c>
      <c r="C133" s="11">
        <v>43456</v>
      </c>
      <c r="D133" s="11">
        <v>43460</v>
      </c>
      <c r="E133" s="1" t="s">
        <v>107</v>
      </c>
      <c r="F133" s="1" t="s">
        <v>108</v>
      </c>
      <c r="G133" s="19" t="s">
        <v>407</v>
      </c>
      <c r="H133" s="13">
        <v>67.040000000000006</v>
      </c>
      <c r="I133" s="14" t="s">
        <v>373</v>
      </c>
      <c r="J133" s="14">
        <v>17</v>
      </c>
    </row>
    <row r="134" spans="1:10">
      <c r="A134" s="19" t="s">
        <v>408</v>
      </c>
      <c r="B134" s="19" t="s">
        <v>404</v>
      </c>
      <c r="C134" s="11">
        <v>43456</v>
      </c>
      <c r="D134" s="11">
        <v>43460</v>
      </c>
      <c r="E134" s="1" t="s">
        <v>86</v>
      </c>
      <c r="F134" s="1" t="s">
        <v>108</v>
      </c>
      <c r="G134" s="19" t="s">
        <v>409</v>
      </c>
      <c r="H134" s="13">
        <v>37.32</v>
      </c>
      <c r="I134" s="14" t="s">
        <v>373</v>
      </c>
      <c r="J134" s="14">
        <v>18</v>
      </c>
    </row>
    <row r="135" spans="1:10">
      <c r="A135" s="19" t="s">
        <v>410</v>
      </c>
      <c r="B135" s="19" t="s">
        <v>404</v>
      </c>
      <c r="C135" s="11">
        <v>43456</v>
      </c>
      <c r="D135" s="11">
        <v>43460</v>
      </c>
      <c r="E135" s="1" t="s">
        <v>86</v>
      </c>
      <c r="F135" s="1" t="s">
        <v>108</v>
      </c>
      <c r="G135" s="19" t="s">
        <v>411</v>
      </c>
      <c r="H135" s="13">
        <v>18.45</v>
      </c>
      <c r="I135" s="14" t="s">
        <v>373</v>
      </c>
      <c r="J135" s="14">
        <v>19</v>
      </c>
    </row>
    <row r="136" spans="1:10">
      <c r="A136" s="19" t="s">
        <v>412</v>
      </c>
      <c r="B136" s="19" t="s">
        <v>413</v>
      </c>
      <c r="C136" s="11">
        <v>43437</v>
      </c>
      <c r="D136" s="11">
        <v>43437</v>
      </c>
      <c r="E136" s="1" t="s">
        <v>86</v>
      </c>
      <c r="F136" s="1" t="s">
        <v>108</v>
      </c>
      <c r="G136" s="19" t="s">
        <v>414</v>
      </c>
      <c r="H136" s="13">
        <v>166.44</v>
      </c>
      <c r="I136" s="14" t="s">
        <v>373</v>
      </c>
      <c r="J136" s="14">
        <v>20</v>
      </c>
    </row>
    <row r="137" spans="1:10">
      <c r="A137" s="19" t="s">
        <v>415</v>
      </c>
      <c r="B137" s="19" t="s">
        <v>416</v>
      </c>
      <c r="C137" s="11">
        <v>43438</v>
      </c>
      <c r="D137" s="11">
        <v>43442</v>
      </c>
      <c r="E137" s="1" t="s">
        <v>86</v>
      </c>
      <c r="F137" s="1" t="s">
        <v>97</v>
      </c>
      <c r="G137" s="19" t="s">
        <v>417</v>
      </c>
      <c r="H137" s="13">
        <v>5.3460000000000001</v>
      </c>
      <c r="I137" s="14" t="s">
        <v>373</v>
      </c>
      <c r="J137" s="14">
        <v>21</v>
      </c>
    </row>
    <row r="138" spans="1:10">
      <c r="A138" s="19" t="s">
        <v>418</v>
      </c>
      <c r="B138" s="19" t="s">
        <v>419</v>
      </c>
      <c r="C138" s="11">
        <v>43455</v>
      </c>
      <c r="D138" s="11">
        <v>43461</v>
      </c>
      <c r="E138" s="1" t="s">
        <v>86</v>
      </c>
      <c r="F138" s="1" t="s">
        <v>108</v>
      </c>
      <c r="G138" s="19" t="s">
        <v>286</v>
      </c>
      <c r="H138" s="13">
        <v>124.36</v>
      </c>
      <c r="I138" s="14" t="s">
        <v>373</v>
      </c>
      <c r="J138" s="14">
        <v>22</v>
      </c>
    </row>
    <row r="139" spans="1:10">
      <c r="A139" s="19" t="s">
        <v>420</v>
      </c>
      <c r="B139" s="19" t="s">
        <v>421</v>
      </c>
      <c r="C139" s="11">
        <v>43456</v>
      </c>
      <c r="D139" s="11">
        <v>43458</v>
      </c>
      <c r="E139" s="1" t="s">
        <v>86</v>
      </c>
      <c r="F139" s="1" t="s">
        <v>97</v>
      </c>
      <c r="G139" s="19" t="s">
        <v>422</v>
      </c>
      <c r="H139" s="13">
        <v>1.641</v>
      </c>
      <c r="I139" s="14" t="s">
        <v>373</v>
      </c>
      <c r="J139" s="14">
        <v>23</v>
      </c>
    </row>
    <row r="140" spans="1:10">
      <c r="A140" s="19" t="s">
        <v>423</v>
      </c>
      <c r="B140" s="19" t="s">
        <v>421</v>
      </c>
      <c r="C140" s="11">
        <v>43456</v>
      </c>
      <c r="D140" s="11">
        <v>43458</v>
      </c>
      <c r="E140" s="1" t="s">
        <v>107</v>
      </c>
      <c r="F140" s="1" t="s">
        <v>97</v>
      </c>
      <c r="G140" s="19" t="s">
        <v>424</v>
      </c>
      <c r="H140" s="13">
        <v>629.95799999999997</v>
      </c>
      <c r="I140" s="14" t="s">
        <v>373</v>
      </c>
      <c r="J140" s="14">
        <v>24</v>
      </c>
    </row>
    <row r="141" spans="1:10">
      <c r="A141" s="19" t="s">
        <v>425</v>
      </c>
      <c r="B141" s="19" t="s">
        <v>426</v>
      </c>
      <c r="C141" s="11">
        <v>43444</v>
      </c>
      <c r="D141" s="11">
        <v>43446</v>
      </c>
      <c r="E141" s="1" t="s">
        <v>91</v>
      </c>
      <c r="F141" s="1" t="s">
        <v>298</v>
      </c>
      <c r="G141" s="19" t="s">
        <v>427</v>
      </c>
      <c r="H141" s="13">
        <v>19.103999999999999</v>
      </c>
      <c r="I141" s="14" t="s">
        <v>373</v>
      </c>
      <c r="J141" s="14">
        <v>25</v>
      </c>
    </row>
    <row r="142" spans="1:10">
      <c r="A142" s="19" t="s">
        <v>428</v>
      </c>
      <c r="B142" s="19" t="s">
        <v>429</v>
      </c>
      <c r="C142" s="11">
        <v>43451</v>
      </c>
      <c r="D142" s="11">
        <v>43456</v>
      </c>
      <c r="E142" s="1" t="s">
        <v>86</v>
      </c>
      <c r="F142" s="1" t="s">
        <v>87</v>
      </c>
      <c r="G142" s="19" t="s">
        <v>430</v>
      </c>
      <c r="H142" s="13">
        <v>28.16</v>
      </c>
      <c r="I142" s="14" t="s">
        <v>373</v>
      </c>
      <c r="J142" s="14">
        <v>26</v>
      </c>
    </row>
    <row r="143" spans="1:10">
      <c r="A143" s="19" t="s">
        <v>431</v>
      </c>
      <c r="B143" s="19" t="s">
        <v>432</v>
      </c>
      <c r="C143" s="11">
        <v>43463</v>
      </c>
      <c r="D143" s="11">
        <v>43465</v>
      </c>
      <c r="E143" s="1" t="s">
        <v>86</v>
      </c>
      <c r="F143" s="1" t="s">
        <v>97</v>
      </c>
      <c r="G143" s="19" t="s">
        <v>433</v>
      </c>
      <c r="H143" s="13">
        <v>6.03</v>
      </c>
      <c r="I143" s="14" t="s">
        <v>373</v>
      </c>
      <c r="J143" s="14">
        <v>27</v>
      </c>
    </row>
    <row r="144" spans="1:10">
      <c r="A144" s="19" t="s">
        <v>434</v>
      </c>
      <c r="B144" s="19" t="s">
        <v>435</v>
      </c>
      <c r="C144" s="11">
        <v>43452</v>
      </c>
      <c r="D144" s="11">
        <v>43453</v>
      </c>
      <c r="E144" s="1" t="s">
        <v>86</v>
      </c>
      <c r="F144" s="1" t="s">
        <v>108</v>
      </c>
      <c r="G144" s="19" t="s">
        <v>146</v>
      </c>
      <c r="H144" s="13">
        <v>6.63</v>
      </c>
      <c r="I144" s="14" t="s">
        <v>373</v>
      </c>
      <c r="J144" s="14">
        <v>28</v>
      </c>
    </row>
    <row r="145" spans="1:10">
      <c r="A145" s="19" t="s">
        <v>436</v>
      </c>
      <c r="B145" s="19" t="s">
        <v>435</v>
      </c>
      <c r="C145" s="11">
        <v>43452</v>
      </c>
      <c r="D145" s="11">
        <v>43453</v>
      </c>
      <c r="E145" s="1" t="s">
        <v>86</v>
      </c>
      <c r="F145" s="1" t="s">
        <v>108</v>
      </c>
      <c r="G145" s="19" t="s">
        <v>230</v>
      </c>
      <c r="H145" s="13">
        <v>12.96</v>
      </c>
      <c r="I145" s="14" t="s">
        <v>373</v>
      </c>
      <c r="J145" s="14">
        <v>29</v>
      </c>
    </row>
    <row r="146" spans="1:10">
      <c r="A146" s="19" t="s">
        <v>437</v>
      </c>
      <c r="B146" s="19" t="s">
        <v>435</v>
      </c>
      <c r="C146" s="11">
        <v>43452</v>
      </c>
      <c r="D146" s="11">
        <v>43453</v>
      </c>
      <c r="E146" s="1" t="s">
        <v>86</v>
      </c>
      <c r="F146" s="1" t="s">
        <v>108</v>
      </c>
      <c r="G146" s="19" t="s">
        <v>438</v>
      </c>
      <c r="H146" s="13">
        <v>32.4</v>
      </c>
      <c r="I146" s="14" t="s">
        <v>373</v>
      </c>
      <c r="J146" s="14">
        <v>30</v>
      </c>
    </row>
    <row r="147" spans="1:10">
      <c r="A147" s="19" t="s">
        <v>439</v>
      </c>
      <c r="B147" s="19" t="s">
        <v>440</v>
      </c>
      <c r="C147" s="11">
        <v>43448</v>
      </c>
      <c r="D147" s="11">
        <v>43452</v>
      </c>
      <c r="E147" s="1" t="s">
        <v>91</v>
      </c>
      <c r="F147" s="1" t="s">
        <v>108</v>
      </c>
      <c r="G147" s="19" t="s">
        <v>441</v>
      </c>
      <c r="H147" s="13">
        <v>26.25</v>
      </c>
      <c r="I147" s="14" t="s">
        <v>373</v>
      </c>
      <c r="J147" s="14">
        <v>31</v>
      </c>
    </row>
    <row r="148" spans="1:10">
      <c r="A148" s="19" t="s">
        <v>442</v>
      </c>
      <c r="B148" s="19" t="s">
        <v>440</v>
      </c>
      <c r="C148" s="11">
        <v>43448</v>
      </c>
      <c r="D148" s="11">
        <v>43452</v>
      </c>
      <c r="E148" s="1" t="s">
        <v>86</v>
      </c>
      <c r="F148" s="1" t="s">
        <v>108</v>
      </c>
      <c r="G148" s="19" t="s">
        <v>443</v>
      </c>
      <c r="H148" s="13">
        <v>64.959999999999994</v>
      </c>
      <c r="I148" s="14" t="s">
        <v>373</v>
      </c>
      <c r="J148" s="14">
        <v>32</v>
      </c>
    </row>
    <row r="149" spans="1:10">
      <c r="A149" s="19" t="s">
        <v>444</v>
      </c>
      <c r="B149" s="19" t="s">
        <v>440</v>
      </c>
      <c r="C149" s="11">
        <v>43448</v>
      </c>
      <c r="D149" s="11">
        <v>43452</v>
      </c>
      <c r="E149" s="1" t="s">
        <v>86</v>
      </c>
      <c r="F149" s="1" t="s">
        <v>108</v>
      </c>
      <c r="G149" s="19" t="s">
        <v>445</v>
      </c>
      <c r="H149" s="13">
        <v>43.7</v>
      </c>
      <c r="I149" s="14" t="s">
        <v>373</v>
      </c>
      <c r="J149" s="14">
        <v>33</v>
      </c>
    </row>
    <row r="150" spans="1:10">
      <c r="A150" s="19" t="s">
        <v>446</v>
      </c>
      <c r="B150" s="19" t="s">
        <v>447</v>
      </c>
      <c r="C150" s="11">
        <v>43450</v>
      </c>
      <c r="D150" s="11">
        <v>43455</v>
      </c>
      <c r="E150" s="1" t="s">
        <v>91</v>
      </c>
      <c r="F150" s="1" t="s">
        <v>108</v>
      </c>
      <c r="G150" s="19" t="s">
        <v>448</v>
      </c>
      <c r="H150" s="13">
        <v>81.567999999999998</v>
      </c>
      <c r="I150" s="14" t="s">
        <v>373</v>
      </c>
      <c r="J150" s="14">
        <v>34</v>
      </c>
    </row>
    <row r="151" spans="1:10">
      <c r="A151" s="19" t="s">
        <v>449</v>
      </c>
      <c r="B151" s="19" t="s">
        <v>447</v>
      </c>
      <c r="C151" s="11">
        <v>43450</v>
      </c>
      <c r="D151" s="11">
        <v>43455</v>
      </c>
      <c r="E151" s="1" t="s">
        <v>91</v>
      </c>
      <c r="F151" s="1" t="s">
        <v>108</v>
      </c>
      <c r="G151" s="19" t="s">
        <v>450</v>
      </c>
      <c r="H151" s="13">
        <v>97.183999999999997</v>
      </c>
      <c r="I151" s="14" t="s">
        <v>373</v>
      </c>
      <c r="J151" s="14">
        <v>35</v>
      </c>
    </row>
    <row r="152" spans="1:10">
      <c r="A152" s="19" t="s">
        <v>451</v>
      </c>
      <c r="B152" s="19" t="s">
        <v>447</v>
      </c>
      <c r="C152" s="11">
        <v>43450</v>
      </c>
      <c r="D152" s="11">
        <v>43455</v>
      </c>
      <c r="E152" s="1" t="s">
        <v>86</v>
      </c>
      <c r="F152" s="1" t="s">
        <v>108</v>
      </c>
      <c r="G152" s="19" t="s">
        <v>452</v>
      </c>
      <c r="H152" s="13">
        <v>24.32</v>
      </c>
      <c r="I152" s="14" t="s">
        <v>373</v>
      </c>
      <c r="J152" s="14">
        <v>36</v>
      </c>
    </row>
    <row r="153" spans="1:10">
      <c r="A153" s="19" t="s">
        <v>453</v>
      </c>
      <c r="B153" s="19" t="s">
        <v>447</v>
      </c>
      <c r="C153" s="11">
        <v>43450</v>
      </c>
      <c r="D153" s="11">
        <v>43455</v>
      </c>
      <c r="E153" s="1" t="s">
        <v>91</v>
      </c>
      <c r="F153" s="1" t="s">
        <v>108</v>
      </c>
      <c r="G153" s="19" t="s">
        <v>454</v>
      </c>
      <c r="H153" s="13">
        <v>18.96</v>
      </c>
      <c r="I153" s="14" t="s">
        <v>373</v>
      </c>
      <c r="J153" s="14">
        <v>37</v>
      </c>
    </row>
    <row r="154" spans="1:10">
      <c r="A154" s="19" t="s">
        <v>455</v>
      </c>
      <c r="B154" s="19" t="s">
        <v>456</v>
      </c>
      <c r="C154" s="11">
        <v>43450</v>
      </c>
      <c r="D154" s="11">
        <v>43454</v>
      </c>
      <c r="E154" s="1" t="s">
        <v>86</v>
      </c>
      <c r="F154" s="1" t="s">
        <v>87</v>
      </c>
      <c r="G154" s="19" t="s">
        <v>457</v>
      </c>
      <c r="H154" s="13">
        <v>10.8</v>
      </c>
      <c r="I154" s="14" t="s">
        <v>373</v>
      </c>
      <c r="J154" s="14">
        <v>38</v>
      </c>
    </row>
    <row r="155" spans="1:10">
      <c r="A155" s="19" t="s">
        <v>458</v>
      </c>
      <c r="B155" s="19" t="s">
        <v>459</v>
      </c>
      <c r="C155" s="11">
        <v>43438</v>
      </c>
      <c r="D155" s="11">
        <v>43438</v>
      </c>
      <c r="E155" s="1" t="s">
        <v>91</v>
      </c>
      <c r="F155" s="1" t="s">
        <v>97</v>
      </c>
      <c r="G155" s="19" t="s">
        <v>460</v>
      </c>
      <c r="H155" s="13">
        <v>188.55199999999999</v>
      </c>
      <c r="I155" s="14" t="s">
        <v>373</v>
      </c>
      <c r="J155" s="14">
        <v>39</v>
      </c>
    </row>
    <row r="156" spans="1:10">
      <c r="A156" s="19" t="s">
        <v>461</v>
      </c>
      <c r="B156" s="19" t="s">
        <v>462</v>
      </c>
      <c r="C156" s="11">
        <v>43450</v>
      </c>
      <c r="D156" s="11">
        <v>43457</v>
      </c>
      <c r="E156" s="1" t="s">
        <v>86</v>
      </c>
      <c r="F156" s="1" t="s">
        <v>97</v>
      </c>
      <c r="G156" s="19" t="s">
        <v>463</v>
      </c>
      <c r="H156" s="13">
        <v>33.375999999999998</v>
      </c>
      <c r="I156" s="14" t="s">
        <v>373</v>
      </c>
      <c r="J156" s="14">
        <v>40</v>
      </c>
    </row>
    <row r="157" spans="1:10">
      <c r="A157" s="19" t="s">
        <v>464</v>
      </c>
      <c r="B157" s="19" t="s">
        <v>465</v>
      </c>
      <c r="C157" s="11">
        <v>43451</v>
      </c>
      <c r="D157" s="11">
        <v>43455</v>
      </c>
      <c r="E157" s="1" t="s">
        <v>91</v>
      </c>
      <c r="F157" s="1" t="s">
        <v>298</v>
      </c>
      <c r="G157" s="19" t="s">
        <v>466</v>
      </c>
      <c r="H157" s="13">
        <v>504.9</v>
      </c>
      <c r="I157" s="14" t="s">
        <v>373</v>
      </c>
      <c r="J157" s="14">
        <v>41</v>
      </c>
    </row>
    <row r="158" spans="1:10">
      <c r="A158" s="19" t="s">
        <v>467</v>
      </c>
      <c r="B158" s="19" t="s">
        <v>468</v>
      </c>
      <c r="C158" s="11">
        <v>43456</v>
      </c>
      <c r="D158" s="11">
        <v>43461</v>
      </c>
      <c r="E158" s="1" t="s">
        <v>86</v>
      </c>
      <c r="F158" s="1" t="s">
        <v>97</v>
      </c>
      <c r="G158" s="19" t="s">
        <v>469</v>
      </c>
      <c r="H158" s="13">
        <v>695.16</v>
      </c>
      <c r="I158" s="14" t="s">
        <v>373</v>
      </c>
      <c r="J158" s="14">
        <v>42</v>
      </c>
    </row>
    <row r="159" spans="1:10">
      <c r="A159" s="19" t="s">
        <v>470</v>
      </c>
      <c r="B159" s="19" t="s">
        <v>468</v>
      </c>
      <c r="C159" s="11">
        <v>43456</v>
      </c>
      <c r="D159" s="11">
        <v>43461</v>
      </c>
      <c r="E159" s="1" t="s">
        <v>91</v>
      </c>
      <c r="F159" s="1" t="s">
        <v>97</v>
      </c>
      <c r="G159" s="19" t="s">
        <v>471</v>
      </c>
      <c r="H159" s="13">
        <v>220.98</v>
      </c>
      <c r="I159" s="14" t="s">
        <v>373</v>
      </c>
      <c r="J159" s="14">
        <v>43</v>
      </c>
    </row>
    <row r="160" spans="1:10">
      <c r="A160" s="19" t="s">
        <v>472</v>
      </c>
      <c r="B160" s="19" t="s">
        <v>473</v>
      </c>
      <c r="C160" s="11">
        <v>43455</v>
      </c>
      <c r="D160" s="11">
        <v>43460</v>
      </c>
      <c r="E160" s="1" t="s">
        <v>86</v>
      </c>
      <c r="F160" s="1" t="s">
        <v>298</v>
      </c>
      <c r="G160" s="19" t="s">
        <v>474</v>
      </c>
      <c r="H160" s="13">
        <v>23.88</v>
      </c>
      <c r="I160" s="14" t="s">
        <v>373</v>
      </c>
      <c r="J160" s="14">
        <v>44</v>
      </c>
    </row>
    <row r="161" spans="1:10">
      <c r="A161" s="19" t="s">
        <v>475</v>
      </c>
      <c r="B161" s="19" t="s">
        <v>476</v>
      </c>
      <c r="C161" s="11">
        <v>43439</v>
      </c>
      <c r="D161" s="11">
        <v>43445</v>
      </c>
      <c r="E161" s="1" t="s">
        <v>91</v>
      </c>
      <c r="F161" s="1" t="s">
        <v>97</v>
      </c>
      <c r="G161" s="19" t="s">
        <v>477</v>
      </c>
      <c r="H161" s="13">
        <v>20.94</v>
      </c>
      <c r="I161" s="14" t="s">
        <v>373</v>
      </c>
      <c r="J161" s="14">
        <v>45</v>
      </c>
    </row>
    <row r="162" spans="1:10">
      <c r="A162" s="19" t="s">
        <v>478</v>
      </c>
      <c r="B162" s="19" t="s">
        <v>476</v>
      </c>
      <c r="C162" s="11">
        <v>43439</v>
      </c>
      <c r="D162" s="11">
        <v>43445</v>
      </c>
      <c r="E162" s="1" t="s">
        <v>91</v>
      </c>
      <c r="F162" s="1" t="s">
        <v>97</v>
      </c>
      <c r="G162" s="19" t="s">
        <v>479</v>
      </c>
      <c r="H162" s="13">
        <v>58.68</v>
      </c>
      <c r="I162" s="14" t="s">
        <v>373</v>
      </c>
      <c r="J162" s="14">
        <v>46</v>
      </c>
    </row>
    <row r="163" spans="1:10">
      <c r="A163" s="19" t="s">
        <v>480</v>
      </c>
      <c r="B163" s="19" t="s">
        <v>476</v>
      </c>
      <c r="C163" s="11">
        <v>43439</v>
      </c>
      <c r="D163" s="11">
        <v>43445</v>
      </c>
      <c r="E163" s="1" t="s">
        <v>86</v>
      </c>
      <c r="F163" s="1" t="s">
        <v>97</v>
      </c>
      <c r="G163" s="19" t="s">
        <v>481</v>
      </c>
      <c r="H163" s="13">
        <v>254.9</v>
      </c>
      <c r="I163" s="14" t="s">
        <v>373</v>
      </c>
      <c r="J163" s="14">
        <v>47</v>
      </c>
    </row>
    <row r="164" spans="1:10">
      <c r="A164" s="19" t="s">
        <v>482</v>
      </c>
      <c r="B164" s="19" t="s">
        <v>483</v>
      </c>
      <c r="C164" s="11">
        <v>43452</v>
      </c>
      <c r="D164" s="11">
        <v>43456</v>
      </c>
      <c r="E164" s="1" t="s">
        <v>86</v>
      </c>
      <c r="F164" s="1" t="s">
        <v>97</v>
      </c>
      <c r="G164" s="19" t="s">
        <v>484</v>
      </c>
      <c r="H164" s="13">
        <v>18.704000000000001</v>
      </c>
      <c r="I164" s="14" t="s">
        <v>373</v>
      </c>
      <c r="J164" s="14">
        <v>48</v>
      </c>
    </row>
    <row r="165" spans="1:10">
      <c r="A165" s="19" t="s">
        <v>485</v>
      </c>
      <c r="B165" s="19" t="s">
        <v>486</v>
      </c>
      <c r="C165" s="11">
        <v>43435</v>
      </c>
      <c r="D165" s="11">
        <v>43439</v>
      </c>
      <c r="E165" s="1" t="s">
        <v>107</v>
      </c>
      <c r="F165" s="1" t="s">
        <v>87</v>
      </c>
      <c r="G165" s="19" t="s">
        <v>487</v>
      </c>
      <c r="H165" s="13">
        <v>219.8</v>
      </c>
      <c r="I165" s="14" t="s">
        <v>373</v>
      </c>
      <c r="J165" s="14">
        <v>49</v>
      </c>
    </row>
    <row r="166" spans="1:10">
      <c r="A166" s="19" t="s">
        <v>488</v>
      </c>
      <c r="B166" s="19" t="s">
        <v>486</v>
      </c>
      <c r="C166" s="11">
        <v>43435</v>
      </c>
      <c r="D166" s="11">
        <v>43439</v>
      </c>
      <c r="E166" s="1" t="s">
        <v>91</v>
      </c>
      <c r="F166" s="1" t="s">
        <v>87</v>
      </c>
      <c r="G166" s="19" t="s">
        <v>489</v>
      </c>
      <c r="H166" s="13">
        <v>317.05799999999999</v>
      </c>
      <c r="I166" s="14" t="s">
        <v>373</v>
      </c>
      <c r="J166" s="14">
        <v>50</v>
      </c>
    </row>
    <row r="167" spans="1:10">
      <c r="A167" s="19" t="s">
        <v>490</v>
      </c>
      <c r="B167" s="19" t="s">
        <v>491</v>
      </c>
      <c r="C167" s="11">
        <v>43444</v>
      </c>
      <c r="D167" s="11">
        <v>43446</v>
      </c>
      <c r="E167" s="1" t="s">
        <v>107</v>
      </c>
      <c r="F167" s="1" t="s">
        <v>108</v>
      </c>
      <c r="G167" s="19" t="s">
        <v>492</v>
      </c>
      <c r="H167" s="13">
        <v>49.08</v>
      </c>
      <c r="I167" s="14" t="s">
        <v>373</v>
      </c>
      <c r="J167" s="14">
        <v>51</v>
      </c>
    </row>
    <row r="168" spans="1:10">
      <c r="A168" s="19" t="s">
        <v>493</v>
      </c>
      <c r="B168" s="19" t="s">
        <v>491</v>
      </c>
      <c r="C168" s="11">
        <v>43444</v>
      </c>
      <c r="D168" s="11">
        <v>43446</v>
      </c>
      <c r="E168" s="1" t="s">
        <v>86</v>
      </c>
      <c r="F168" s="1" t="s">
        <v>108</v>
      </c>
      <c r="G168" s="19" t="s">
        <v>494</v>
      </c>
      <c r="H168" s="13">
        <v>324.89999999999998</v>
      </c>
      <c r="I168" s="14" t="s">
        <v>373</v>
      </c>
      <c r="J168" s="14">
        <v>52</v>
      </c>
    </row>
    <row r="169" spans="1:10">
      <c r="A169" s="19" t="s">
        <v>495</v>
      </c>
      <c r="B169" s="19" t="s">
        <v>491</v>
      </c>
      <c r="C169" s="11">
        <v>43444</v>
      </c>
      <c r="D169" s="11">
        <v>43446</v>
      </c>
      <c r="E169" s="1" t="s">
        <v>86</v>
      </c>
      <c r="F169" s="1" t="s">
        <v>108</v>
      </c>
      <c r="G169" s="19" t="s">
        <v>496</v>
      </c>
      <c r="H169" s="13">
        <v>18.239999999999998</v>
      </c>
      <c r="I169" s="14" t="s">
        <v>373</v>
      </c>
      <c r="J169" s="14">
        <v>53</v>
      </c>
    </row>
    <row r="170" spans="1:10">
      <c r="A170" s="19" t="s">
        <v>497</v>
      </c>
      <c r="B170" s="19" t="s">
        <v>498</v>
      </c>
      <c r="C170" s="11">
        <v>43458</v>
      </c>
      <c r="D170" s="11">
        <v>43462</v>
      </c>
      <c r="E170" s="1" t="s">
        <v>91</v>
      </c>
      <c r="F170" s="1" t="s">
        <v>97</v>
      </c>
      <c r="G170" s="19" t="s">
        <v>489</v>
      </c>
      <c r="H170" s="13">
        <v>271.76400000000001</v>
      </c>
      <c r="I170" s="14" t="s">
        <v>373</v>
      </c>
      <c r="J170" s="14">
        <v>54</v>
      </c>
    </row>
    <row r="171" spans="1:10">
      <c r="A171" s="19" t="s">
        <v>499</v>
      </c>
      <c r="B171" s="19" t="s">
        <v>498</v>
      </c>
      <c r="C171" s="11">
        <v>43458</v>
      </c>
      <c r="D171" s="11">
        <v>43462</v>
      </c>
      <c r="E171" s="1" t="s">
        <v>86</v>
      </c>
      <c r="F171" s="1" t="s">
        <v>97</v>
      </c>
      <c r="G171" s="19" t="s">
        <v>500</v>
      </c>
      <c r="H171" s="13">
        <v>14.375999999999999</v>
      </c>
      <c r="I171" s="14" t="s">
        <v>373</v>
      </c>
      <c r="J171" s="14">
        <v>55</v>
      </c>
    </row>
    <row r="172" spans="1:10">
      <c r="A172" s="19" t="s">
        <v>501</v>
      </c>
      <c r="B172" s="19" t="s">
        <v>502</v>
      </c>
      <c r="C172" s="11">
        <v>43448</v>
      </c>
      <c r="D172" s="11">
        <v>43454</v>
      </c>
      <c r="E172" s="1" t="s">
        <v>107</v>
      </c>
      <c r="F172" s="1" t="s">
        <v>87</v>
      </c>
      <c r="G172" s="19" t="s">
        <v>503</v>
      </c>
      <c r="H172" s="13">
        <v>227.976</v>
      </c>
      <c r="I172" s="14" t="s">
        <v>373</v>
      </c>
      <c r="J172" s="14">
        <v>56</v>
      </c>
    </row>
    <row r="173" spans="1:10">
      <c r="A173" s="19" t="s">
        <v>504</v>
      </c>
      <c r="B173" s="19" t="s">
        <v>502</v>
      </c>
      <c r="C173" s="11">
        <v>43448</v>
      </c>
      <c r="D173" s="11">
        <v>43454</v>
      </c>
      <c r="E173" s="1" t="s">
        <v>107</v>
      </c>
      <c r="F173" s="1" t="s">
        <v>87</v>
      </c>
      <c r="G173" s="19" t="s">
        <v>505</v>
      </c>
      <c r="H173" s="13">
        <v>52.68</v>
      </c>
      <c r="I173" s="14" t="s">
        <v>373</v>
      </c>
      <c r="J173" s="14">
        <v>57</v>
      </c>
    </row>
    <row r="174" spans="1:10">
      <c r="A174" s="19" t="s">
        <v>506</v>
      </c>
      <c r="B174" s="19" t="s">
        <v>502</v>
      </c>
      <c r="C174" s="11">
        <v>43448</v>
      </c>
      <c r="D174" s="11">
        <v>43454</v>
      </c>
      <c r="E174" s="1" t="s">
        <v>91</v>
      </c>
      <c r="F174" s="1" t="s">
        <v>87</v>
      </c>
      <c r="G174" s="19" t="s">
        <v>507</v>
      </c>
      <c r="H174" s="13">
        <v>2.032</v>
      </c>
      <c r="I174" s="14" t="s">
        <v>373</v>
      </c>
      <c r="J174" s="14">
        <v>58</v>
      </c>
    </row>
    <row r="175" spans="1:10">
      <c r="A175" s="19" t="s">
        <v>508</v>
      </c>
      <c r="B175" s="19" t="s">
        <v>509</v>
      </c>
      <c r="C175" s="11">
        <v>43442</v>
      </c>
      <c r="D175" s="11">
        <v>43443</v>
      </c>
      <c r="E175" s="1" t="s">
        <v>86</v>
      </c>
      <c r="F175" s="1" t="s">
        <v>108</v>
      </c>
      <c r="G175" s="19" t="s">
        <v>510</v>
      </c>
      <c r="H175" s="13">
        <v>29.79</v>
      </c>
      <c r="I175" s="14" t="s">
        <v>373</v>
      </c>
      <c r="J175" s="14">
        <v>59</v>
      </c>
    </row>
    <row r="176" spans="1:10">
      <c r="A176" s="19" t="s">
        <v>511</v>
      </c>
      <c r="B176" s="19" t="s">
        <v>509</v>
      </c>
      <c r="C176" s="11">
        <v>43442</v>
      </c>
      <c r="D176" s="11">
        <v>43443</v>
      </c>
      <c r="E176" s="1" t="s">
        <v>91</v>
      </c>
      <c r="F176" s="1" t="s">
        <v>108</v>
      </c>
      <c r="G176" s="19" t="s">
        <v>512</v>
      </c>
      <c r="H176" s="13">
        <v>128.9</v>
      </c>
      <c r="I176" s="14" t="s">
        <v>373</v>
      </c>
      <c r="J176" s="14">
        <v>60</v>
      </c>
    </row>
    <row r="177" spans="1:10">
      <c r="A177" s="19" t="s">
        <v>513</v>
      </c>
      <c r="B177" s="19" t="s">
        <v>509</v>
      </c>
      <c r="C177" s="11">
        <v>43442</v>
      </c>
      <c r="D177" s="11">
        <v>43443</v>
      </c>
      <c r="E177" s="1" t="s">
        <v>86</v>
      </c>
      <c r="F177" s="1" t="s">
        <v>108</v>
      </c>
      <c r="G177" s="19" t="s">
        <v>514</v>
      </c>
      <c r="H177" s="13">
        <v>60.12</v>
      </c>
      <c r="I177" s="14" t="s">
        <v>373</v>
      </c>
      <c r="J177" s="14">
        <v>61</v>
      </c>
    </row>
    <row r="178" spans="1:10">
      <c r="A178" s="19" t="s">
        <v>515</v>
      </c>
      <c r="B178" s="19" t="s">
        <v>516</v>
      </c>
      <c r="C178" s="11">
        <v>43439</v>
      </c>
      <c r="D178" s="11">
        <v>43443</v>
      </c>
      <c r="E178" s="1" t="s">
        <v>86</v>
      </c>
      <c r="F178" s="1" t="s">
        <v>108</v>
      </c>
      <c r="G178" s="19" t="s">
        <v>517</v>
      </c>
      <c r="H178" s="13">
        <v>24.815999999999999</v>
      </c>
      <c r="I178" s="14" t="s">
        <v>518</v>
      </c>
      <c r="J178" s="14">
        <v>2</v>
      </c>
    </row>
    <row r="179" spans="1:10">
      <c r="A179" s="19" t="s">
        <v>519</v>
      </c>
      <c r="B179" s="19" t="s">
        <v>516</v>
      </c>
      <c r="C179" s="11">
        <v>43439</v>
      </c>
      <c r="D179" s="11">
        <v>43443</v>
      </c>
      <c r="E179" s="1" t="s">
        <v>86</v>
      </c>
      <c r="F179" s="1" t="s">
        <v>108</v>
      </c>
      <c r="G179" s="19" t="s">
        <v>520</v>
      </c>
      <c r="H179" s="13">
        <v>14.976000000000001</v>
      </c>
      <c r="I179" s="14" t="s">
        <v>518</v>
      </c>
      <c r="J179" s="14">
        <v>3</v>
      </c>
    </row>
    <row r="180" spans="1:10">
      <c r="A180" s="19" t="s">
        <v>521</v>
      </c>
      <c r="B180" s="19" t="s">
        <v>522</v>
      </c>
      <c r="C180" s="11">
        <v>43437</v>
      </c>
      <c r="D180" s="11">
        <v>43439</v>
      </c>
      <c r="E180" s="1" t="s">
        <v>107</v>
      </c>
      <c r="F180" s="1" t="s">
        <v>298</v>
      </c>
      <c r="G180" s="19" t="s">
        <v>523</v>
      </c>
      <c r="H180" s="13">
        <v>47.991999999999997</v>
      </c>
      <c r="I180" s="14" t="s">
        <v>518</v>
      </c>
      <c r="J180" s="14">
        <v>4</v>
      </c>
    </row>
    <row r="181" spans="1:10">
      <c r="A181" s="19" t="s">
        <v>524</v>
      </c>
      <c r="B181" s="19" t="s">
        <v>525</v>
      </c>
      <c r="C181" s="11">
        <v>43444</v>
      </c>
      <c r="D181" s="11">
        <v>43449</v>
      </c>
      <c r="E181" s="1" t="s">
        <v>107</v>
      </c>
      <c r="F181" s="1" t="s">
        <v>298</v>
      </c>
      <c r="G181" s="19" t="s">
        <v>526</v>
      </c>
      <c r="H181" s="13">
        <v>599.97</v>
      </c>
      <c r="I181" s="14" t="s">
        <v>518</v>
      </c>
      <c r="J181" s="14">
        <v>5</v>
      </c>
    </row>
    <row r="182" spans="1:10">
      <c r="A182" s="19" t="s">
        <v>527</v>
      </c>
      <c r="B182" s="19" t="s">
        <v>525</v>
      </c>
      <c r="C182" s="11">
        <v>43444</v>
      </c>
      <c r="D182" s="11">
        <v>43449</v>
      </c>
      <c r="E182" s="1" t="s">
        <v>107</v>
      </c>
      <c r="F182" s="1" t="s">
        <v>298</v>
      </c>
      <c r="G182" s="19" t="s">
        <v>528</v>
      </c>
      <c r="H182" s="13">
        <v>38.97</v>
      </c>
      <c r="I182" s="14" t="s">
        <v>518</v>
      </c>
      <c r="J182" s="14">
        <v>6</v>
      </c>
    </row>
    <row r="183" spans="1:10">
      <c r="A183" s="19" t="s">
        <v>529</v>
      </c>
      <c r="B183" s="19" t="s">
        <v>525</v>
      </c>
      <c r="C183" s="11">
        <v>43444</v>
      </c>
      <c r="D183" s="11">
        <v>43449</v>
      </c>
      <c r="E183" s="1" t="s">
        <v>86</v>
      </c>
      <c r="F183" s="1" t="s">
        <v>298</v>
      </c>
      <c r="G183" s="19" t="s">
        <v>530</v>
      </c>
      <c r="H183" s="13">
        <v>45.84</v>
      </c>
      <c r="I183" s="14" t="s">
        <v>518</v>
      </c>
      <c r="J183" s="14">
        <v>7</v>
      </c>
    </row>
    <row r="184" spans="1:10">
      <c r="A184" s="19" t="s">
        <v>531</v>
      </c>
      <c r="B184" s="19" t="s">
        <v>532</v>
      </c>
      <c r="C184" s="11">
        <v>43457</v>
      </c>
      <c r="D184" s="11">
        <v>43459</v>
      </c>
      <c r="E184" s="1" t="s">
        <v>86</v>
      </c>
      <c r="F184" s="1" t="s">
        <v>87</v>
      </c>
      <c r="G184" s="19" t="s">
        <v>533</v>
      </c>
      <c r="H184" s="13">
        <v>28.672000000000001</v>
      </c>
      <c r="I184" s="14" t="s">
        <v>518</v>
      </c>
      <c r="J184" s="14">
        <v>8</v>
      </c>
    </row>
    <row r="185" spans="1:10">
      <c r="A185" s="19" t="s">
        <v>534</v>
      </c>
      <c r="B185" s="19" t="s">
        <v>532</v>
      </c>
      <c r="C185" s="11">
        <v>43457</v>
      </c>
      <c r="D185" s="11">
        <v>43459</v>
      </c>
      <c r="E185" s="1" t="s">
        <v>86</v>
      </c>
      <c r="F185" s="1" t="s">
        <v>87</v>
      </c>
      <c r="G185" s="19" t="s">
        <v>535</v>
      </c>
      <c r="H185" s="13">
        <v>29.312000000000001</v>
      </c>
      <c r="I185" s="14" t="s">
        <v>518</v>
      </c>
      <c r="J185" s="14">
        <v>9</v>
      </c>
    </row>
    <row r="186" spans="1:10">
      <c r="A186" s="19" t="s">
        <v>536</v>
      </c>
      <c r="B186" s="19" t="s">
        <v>537</v>
      </c>
      <c r="C186" s="11">
        <v>43435</v>
      </c>
      <c r="D186" s="11">
        <v>43439</v>
      </c>
      <c r="E186" s="1" t="s">
        <v>86</v>
      </c>
      <c r="F186" s="1" t="s">
        <v>108</v>
      </c>
      <c r="G186" s="19" t="s">
        <v>538</v>
      </c>
      <c r="H186" s="13">
        <v>45.36</v>
      </c>
      <c r="I186" s="14" t="s">
        <v>518</v>
      </c>
      <c r="J186" s="14">
        <v>10</v>
      </c>
    </row>
    <row r="187" spans="1:10">
      <c r="A187" s="19" t="s">
        <v>539</v>
      </c>
      <c r="B187" s="19" t="s">
        <v>537</v>
      </c>
      <c r="C187" s="11">
        <v>43435</v>
      </c>
      <c r="D187" s="11">
        <v>43439</v>
      </c>
      <c r="E187" s="1" t="s">
        <v>86</v>
      </c>
      <c r="F187" s="1" t="s">
        <v>108</v>
      </c>
      <c r="G187" s="19" t="s">
        <v>540</v>
      </c>
      <c r="H187" s="13">
        <v>10.128</v>
      </c>
      <c r="I187" s="14" t="s">
        <v>518</v>
      </c>
      <c r="J187" s="14">
        <v>11</v>
      </c>
    </row>
    <row r="188" spans="1:10">
      <c r="A188" s="19" t="s">
        <v>541</v>
      </c>
      <c r="B188" s="19" t="s">
        <v>542</v>
      </c>
      <c r="C188" s="11">
        <v>43453</v>
      </c>
      <c r="D188" s="11">
        <v>43455</v>
      </c>
      <c r="E188" s="1" t="s">
        <v>86</v>
      </c>
      <c r="F188" s="1" t="s">
        <v>298</v>
      </c>
      <c r="G188" s="19" t="s">
        <v>543</v>
      </c>
      <c r="H188" s="13">
        <v>1665.62</v>
      </c>
      <c r="I188" s="14" t="s">
        <v>518</v>
      </c>
      <c r="J188" s="14">
        <v>12</v>
      </c>
    </row>
    <row r="189" spans="1:10">
      <c r="A189" s="19" t="s">
        <v>544</v>
      </c>
      <c r="B189" s="19" t="s">
        <v>545</v>
      </c>
      <c r="C189" s="11">
        <v>43443</v>
      </c>
      <c r="D189" s="11">
        <v>43449</v>
      </c>
      <c r="E189" s="1" t="s">
        <v>86</v>
      </c>
      <c r="F189" s="1" t="s">
        <v>97</v>
      </c>
      <c r="G189" s="19" t="s">
        <v>546</v>
      </c>
      <c r="H189" s="13">
        <v>2.6240000000000001</v>
      </c>
      <c r="I189" s="14" t="s">
        <v>518</v>
      </c>
      <c r="J189" s="14">
        <v>13</v>
      </c>
    </row>
    <row r="190" spans="1:10">
      <c r="A190" s="19" t="s">
        <v>547</v>
      </c>
      <c r="B190" s="19" t="s">
        <v>548</v>
      </c>
      <c r="C190" s="11">
        <v>43443</v>
      </c>
      <c r="D190" s="11">
        <v>43445</v>
      </c>
      <c r="E190" s="1" t="s">
        <v>107</v>
      </c>
      <c r="F190" s="1" t="s">
        <v>87</v>
      </c>
      <c r="G190" s="19" t="s">
        <v>549</v>
      </c>
      <c r="H190" s="13">
        <v>104.88</v>
      </c>
      <c r="I190" s="14" t="s">
        <v>518</v>
      </c>
      <c r="J190" s="14">
        <v>14</v>
      </c>
    </row>
    <row r="191" spans="1:10">
      <c r="A191" s="19" t="s">
        <v>550</v>
      </c>
      <c r="B191" s="19" t="s">
        <v>548</v>
      </c>
      <c r="C191" s="11">
        <v>43443</v>
      </c>
      <c r="D191" s="11">
        <v>43445</v>
      </c>
      <c r="E191" s="1" t="s">
        <v>86</v>
      </c>
      <c r="F191" s="1" t="s">
        <v>87</v>
      </c>
      <c r="G191" s="19" t="s">
        <v>551</v>
      </c>
      <c r="H191" s="13">
        <v>34.700000000000003</v>
      </c>
      <c r="I191" s="14" t="s">
        <v>518</v>
      </c>
      <c r="J191" s="14">
        <v>15</v>
      </c>
    </row>
    <row r="192" spans="1:10">
      <c r="A192" s="19" t="s">
        <v>552</v>
      </c>
      <c r="B192" s="19" t="s">
        <v>548</v>
      </c>
      <c r="C192" s="11">
        <v>43443</v>
      </c>
      <c r="D192" s="11">
        <v>43445</v>
      </c>
      <c r="E192" s="1" t="s">
        <v>86</v>
      </c>
      <c r="F192" s="1" t="s">
        <v>87</v>
      </c>
      <c r="G192" s="19" t="s">
        <v>553</v>
      </c>
      <c r="H192" s="13">
        <v>33.72</v>
      </c>
      <c r="I192" s="14" t="s">
        <v>518</v>
      </c>
      <c r="J192" s="14">
        <v>16</v>
      </c>
    </row>
    <row r="193" spans="1:10">
      <c r="A193" s="19" t="s">
        <v>554</v>
      </c>
      <c r="B193" s="19" t="s">
        <v>548</v>
      </c>
      <c r="C193" s="11">
        <v>43443</v>
      </c>
      <c r="D193" s="11">
        <v>43445</v>
      </c>
      <c r="E193" s="1" t="s">
        <v>86</v>
      </c>
      <c r="F193" s="1" t="s">
        <v>87</v>
      </c>
      <c r="G193" s="19" t="s">
        <v>555</v>
      </c>
      <c r="H193" s="13">
        <v>14.94</v>
      </c>
      <c r="I193" s="14" t="s">
        <v>518</v>
      </c>
      <c r="J193" s="14">
        <v>17</v>
      </c>
    </row>
    <row r="194" spans="1:10">
      <c r="A194" s="19" t="s">
        <v>556</v>
      </c>
      <c r="B194" s="19" t="s">
        <v>557</v>
      </c>
      <c r="C194" s="11">
        <v>43458</v>
      </c>
      <c r="D194" s="11">
        <v>43463</v>
      </c>
      <c r="E194" s="1" t="s">
        <v>91</v>
      </c>
      <c r="F194" s="1" t="s">
        <v>97</v>
      </c>
      <c r="G194" s="19" t="s">
        <v>558</v>
      </c>
      <c r="H194" s="13">
        <v>37.93</v>
      </c>
      <c r="I194" s="14" t="s">
        <v>518</v>
      </c>
      <c r="J194" s="14">
        <v>18</v>
      </c>
    </row>
    <row r="195" spans="1:10">
      <c r="A195" s="19" t="s">
        <v>559</v>
      </c>
      <c r="B195" s="19" t="s">
        <v>560</v>
      </c>
      <c r="C195" s="11">
        <v>43460</v>
      </c>
      <c r="D195" s="11">
        <v>43464</v>
      </c>
      <c r="E195" s="1" t="s">
        <v>86</v>
      </c>
      <c r="F195" s="1" t="s">
        <v>97</v>
      </c>
      <c r="G195" s="19" t="s">
        <v>561</v>
      </c>
      <c r="H195" s="13">
        <v>3.1320000000000001</v>
      </c>
      <c r="I195" s="14" t="s">
        <v>518</v>
      </c>
      <c r="J195" s="14">
        <v>19</v>
      </c>
    </row>
    <row r="196" spans="1:10">
      <c r="A196" s="19" t="s">
        <v>562</v>
      </c>
      <c r="B196" s="19" t="s">
        <v>563</v>
      </c>
      <c r="C196" s="11">
        <v>43441</v>
      </c>
      <c r="D196" s="11">
        <v>43446</v>
      </c>
      <c r="E196" s="1" t="s">
        <v>86</v>
      </c>
      <c r="F196" s="1" t="s">
        <v>87</v>
      </c>
      <c r="G196" s="19" t="s">
        <v>564</v>
      </c>
      <c r="H196" s="13">
        <v>3.552</v>
      </c>
      <c r="I196" s="14" t="s">
        <v>518</v>
      </c>
      <c r="J196" s="14">
        <v>20</v>
      </c>
    </row>
    <row r="197" spans="1:10">
      <c r="A197" s="19" t="s">
        <v>565</v>
      </c>
      <c r="B197" s="19" t="s">
        <v>563</v>
      </c>
      <c r="C197" s="11">
        <v>43441</v>
      </c>
      <c r="D197" s="11">
        <v>43446</v>
      </c>
      <c r="E197" s="1" t="s">
        <v>86</v>
      </c>
      <c r="F197" s="1" t="s">
        <v>87</v>
      </c>
      <c r="G197" s="19" t="s">
        <v>566</v>
      </c>
      <c r="H197" s="13">
        <v>15.552</v>
      </c>
      <c r="I197" s="14" t="s">
        <v>518</v>
      </c>
      <c r="J197" s="14">
        <v>21</v>
      </c>
    </row>
    <row r="198" spans="1:10">
      <c r="A198" s="19" t="s">
        <v>567</v>
      </c>
      <c r="B198" s="19" t="s">
        <v>568</v>
      </c>
      <c r="C198" s="11">
        <v>43441</v>
      </c>
      <c r="D198" s="11">
        <v>43443</v>
      </c>
      <c r="E198" s="1" t="s">
        <v>107</v>
      </c>
      <c r="F198" s="1" t="s">
        <v>97</v>
      </c>
      <c r="G198" s="19" t="s">
        <v>569</v>
      </c>
      <c r="H198" s="13">
        <v>127.98399999999999</v>
      </c>
      <c r="I198" s="14" t="s">
        <v>518</v>
      </c>
      <c r="J198" s="14">
        <v>22</v>
      </c>
    </row>
    <row r="199" spans="1:10">
      <c r="A199" s="19" t="s">
        <v>570</v>
      </c>
      <c r="B199" s="19" t="s">
        <v>571</v>
      </c>
      <c r="C199" s="11">
        <v>43449</v>
      </c>
      <c r="D199" s="11">
        <v>43454</v>
      </c>
      <c r="E199" s="1" t="s">
        <v>91</v>
      </c>
      <c r="F199" s="1" t="s">
        <v>108</v>
      </c>
      <c r="G199" s="19" t="s">
        <v>572</v>
      </c>
      <c r="H199" s="13">
        <v>22.77</v>
      </c>
      <c r="I199" s="14" t="s">
        <v>518</v>
      </c>
      <c r="J199" s="14">
        <v>23</v>
      </c>
    </row>
    <row r="200" spans="1:10">
      <c r="A200" s="19" t="s">
        <v>573</v>
      </c>
      <c r="B200" s="19" t="s">
        <v>574</v>
      </c>
      <c r="C200" s="11">
        <v>43458</v>
      </c>
      <c r="D200" s="11">
        <v>43462</v>
      </c>
      <c r="E200" s="1" t="s">
        <v>107</v>
      </c>
      <c r="F200" s="1" t="s">
        <v>298</v>
      </c>
      <c r="G200" s="19" t="s">
        <v>575</v>
      </c>
      <c r="H200" s="13">
        <v>479.97</v>
      </c>
      <c r="I200" s="14" t="s">
        <v>518</v>
      </c>
      <c r="J200" s="14">
        <v>24</v>
      </c>
    </row>
    <row r="201" spans="1:10">
      <c r="A201" s="19" t="s">
        <v>576</v>
      </c>
      <c r="B201" s="19" t="s">
        <v>574</v>
      </c>
      <c r="C201" s="11">
        <v>43458</v>
      </c>
      <c r="D201" s="11">
        <v>43462</v>
      </c>
      <c r="E201" s="1" t="s">
        <v>91</v>
      </c>
      <c r="F201" s="1" t="s">
        <v>298</v>
      </c>
      <c r="G201" s="19" t="s">
        <v>577</v>
      </c>
      <c r="H201" s="13">
        <v>232.88</v>
      </c>
      <c r="I201" s="14" t="s">
        <v>518</v>
      </c>
      <c r="J201" s="14">
        <v>25</v>
      </c>
    </row>
    <row r="202" spans="1:10">
      <c r="A202" s="19" t="s">
        <v>578</v>
      </c>
      <c r="B202" s="19" t="s">
        <v>579</v>
      </c>
      <c r="C202" s="11">
        <v>43455</v>
      </c>
      <c r="D202" s="11">
        <v>43455</v>
      </c>
      <c r="E202" s="1" t="s">
        <v>91</v>
      </c>
      <c r="F202" s="1" t="s">
        <v>87</v>
      </c>
      <c r="G202" s="19" t="s">
        <v>427</v>
      </c>
      <c r="H202" s="13">
        <v>15.92</v>
      </c>
      <c r="I202" s="14" t="s">
        <v>518</v>
      </c>
      <c r="J202" s="14">
        <v>26</v>
      </c>
    </row>
    <row r="203" spans="1:10">
      <c r="A203" s="19" t="s">
        <v>580</v>
      </c>
      <c r="B203" s="19" t="s">
        <v>581</v>
      </c>
      <c r="C203" s="11">
        <v>43435</v>
      </c>
      <c r="D203" s="11">
        <v>43438</v>
      </c>
      <c r="E203" s="1" t="s">
        <v>86</v>
      </c>
      <c r="F203" s="1" t="s">
        <v>97</v>
      </c>
      <c r="G203" s="19" t="s">
        <v>582</v>
      </c>
      <c r="H203" s="13">
        <v>37.392000000000003</v>
      </c>
      <c r="I203" s="14" t="s">
        <v>518</v>
      </c>
      <c r="J203" s="14">
        <v>27</v>
      </c>
    </row>
    <row r="204" spans="1:10">
      <c r="A204" s="19" t="s">
        <v>583</v>
      </c>
      <c r="B204" s="19" t="s">
        <v>581</v>
      </c>
      <c r="C204" s="11">
        <v>43435</v>
      </c>
      <c r="D204" s="11">
        <v>43438</v>
      </c>
      <c r="E204" s="1" t="s">
        <v>91</v>
      </c>
      <c r="F204" s="1" t="s">
        <v>97</v>
      </c>
      <c r="G204" s="19" t="s">
        <v>584</v>
      </c>
      <c r="H204" s="13">
        <v>79.12</v>
      </c>
      <c r="I204" s="14" t="s">
        <v>518</v>
      </c>
      <c r="J204" s="14">
        <v>28</v>
      </c>
    </row>
    <row r="205" spans="1:10">
      <c r="A205" s="19" t="s">
        <v>585</v>
      </c>
      <c r="B205" s="19" t="s">
        <v>586</v>
      </c>
      <c r="C205" s="11">
        <v>43443</v>
      </c>
      <c r="D205" s="11">
        <v>43448</v>
      </c>
      <c r="E205" s="1" t="s">
        <v>86</v>
      </c>
      <c r="F205" s="1" t="s">
        <v>87</v>
      </c>
      <c r="G205" s="19" t="s">
        <v>587</v>
      </c>
      <c r="H205" s="13">
        <v>15.984</v>
      </c>
      <c r="I205" s="14" t="s">
        <v>518</v>
      </c>
      <c r="J205" s="14">
        <v>29</v>
      </c>
    </row>
    <row r="206" spans="1:10">
      <c r="A206" s="19" t="s">
        <v>588</v>
      </c>
      <c r="B206" s="19" t="s">
        <v>589</v>
      </c>
      <c r="C206" s="11">
        <v>43463</v>
      </c>
      <c r="D206" s="11">
        <v>43469</v>
      </c>
      <c r="E206" s="1" t="s">
        <v>86</v>
      </c>
      <c r="F206" s="1" t="s">
        <v>87</v>
      </c>
      <c r="G206" s="19" t="s">
        <v>590</v>
      </c>
      <c r="H206" s="13">
        <v>209.7</v>
      </c>
      <c r="I206" s="14" t="s">
        <v>518</v>
      </c>
      <c r="J206" s="14">
        <v>30</v>
      </c>
    </row>
    <row r="207" spans="1:10">
      <c r="A207" s="19" t="s">
        <v>591</v>
      </c>
      <c r="B207" s="19" t="s">
        <v>592</v>
      </c>
      <c r="C207" s="11">
        <v>43462</v>
      </c>
      <c r="D207" s="11">
        <v>43468</v>
      </c>
      <c r="E207" s="1" t="s">
        <v>86</v>
      </c>
      <c r="F207" s="1" t="s">
        <v>298</v>
      </c>
      <c r="G207" s="19" t="s">
        <v>593</v>
      </c>
      <c r="H207" s="13">
        <v>64.784000000000006</v>
      </c>
      <c r="I207" s="14" t="s">
        <v>518</v>
      </c>
      <c r="J207" s="14">
        <v>31</v>
      </c>
    </row>
    <row r="208" spans="1:10">
      <c r="A208" s="19" t="s">
        <v>594</v>
      </c>
      <c r="B208" s="19" t="s">
        <v>595</v>
      </c>
      <c r="C208" s="11">
        <v>43443</v>
      </c>
      <c r="D208" s="11">
        <v>43447</v>
      </c>
      <c r="E208" s="1" t="s">
        <v>86</v>
      </c>
      <c r="F208" s="1" t="s">
        <v>108</v>
      </c>
      <c r="G208" s="19" t="s">
        <v>596</v>
      </c>
      <c r="H208" s="13">
        <v>11.16</v>
      </c>
      <c r="I208" s="14" t="s">
        <v>518</v>
      </c>
      <c r="J208" s="14">
        <v>32</v>
      </c>
    </row>
    <row r="209" spans="1:10">
      <c r="A209" s="19" t="s">
        <v>597</v>
      </c>
      <c r="B209" s="19" t="s">
        <v>595</v>
      </c>
      <c r="C209" s="11">
        <v>43443</v>
      </c>
      <c r="D209" s="11">
        <v>43447</v>
      </c>
      <c r="E209" s="1" t="s">
        <v>91</v>
      </c>
      <c r="F209" s="1" t="s">
        <v>108</v>
      </c>
      <c r="G209" s="19" t="s">
        <v>598</v>
      </c>
      <c r="H209" s="13">
        <v>896.32799999999997</v>
      </c>
      <c r="I209" s="14" t="s">
        <v>518</v>
      </c>
      <c r="J209" s="14">
        <v>33</v>
      </c>
    </row>
    <row r="210" spans="1:10">
      <c r="A210" s="19" t="s">
        <v>599</v>
      </c>
      <c r="B210" s="19" t="s">
        <v>595</v>
      </c>
      <c r="C210" s="11">
        <v>43443</v>
      </c>
      <c r="D210" s="11">
        <v>43447</v>
      </c>
      <c r="E210" s="1" t="s">
        <v>86</v>
      </c>
      <c r="F210" s="1" t="s">
        <v>108</v>
      </c>
      <c r="G210" s="19" t="s">
        <v>600</v>
      </c>
      <c r="H210" s="13">
        <v>189</v>
      </c>
      <c r="I210" s="14" t="s">
        <v>518</v>
      </c>
      <c r="J210" s="14">
        <v>34</v>
      </c>
    </row>
    <row r="211" spans="1:10">
      <c r="A211" s="19" t="s">
        <v>601</v>
      </c>
      <c r="B211" s="19" t="s">
        <v>602</v>
      </c>
      <c r="C211" s="11">
        <v>43441</v>
      </c>
      <c r="D211" s="11">
        <v>43445</v>
      </c>
      <c r="E211" s="1" t="s">
        <v>91</v>
      </c>
      <c r="F211" s="1" t="s">
        <v>298</v>
      </c>
      <c r="G211" s="19" t="s">
        <v>603</v>
      </c>
      <c r="H211" s="13">
        <v>82.38</v>
      </c>
      <c r="I211" s="14" t="s">
        <v>518</v>
      </c>
      <c r="J211" s="14">
        <v>35</v>
      </c>
    </row>
    <row r="212" spans="1:10">
      <c r="A212" s="19" t="s">
        <v>604</v>
      </c>
      <c r="B212" s="19" t="s">
        <v>605</v>
      </c>
      <c r="C212" s="11">
        <v>43451</v>
      </c>
      <c r="D212" s="11">
        <v>43455</v>
      </c>
      <c r="E212" s="1" t="s">
        <v>86</v>
      </c>
      <c r="F212" s="1" t="s">
        <v>298</v>
      </c>
      <c r="G212" s="19" t="s">
        <v>133</v>
      </c>
      <c r="H212" s="13">
        <v>544.38</v>
      </c>
      <c r="I212" s="14" t="s">
        <v>518</v>
      </c>
      <c r="J212" s="14">
        <v>36</v>
      </c>
    </row>
    <row r="213" spans="1:10">
      <c r="A213" s="19" t="s">
        <v>606</v>
      </c>
      <c r="B213" s="19" t="s">
        <v>607</v>
      </c>
      <c r="C213" s="11">
        <v>43444</v>
      </c>
      <c r="D213" s="11">
        <v>43446</v>
      </c>
      <c r="E213" s="1" t="s">
        <v>107</v>
      </c>
      <c r="F213" s="1" t="s">
        <v>108</v>
      </c>
      <c r="G213" s="19" t="s">
        <v>608</v>
      </c>
      <c r="H213" s="13">
        <v>95.84</v>
      </c>
      <c r="I213" s="14" t="s">
        <v>518</v>
      </c>
      <c r="J213" s="14">
        <v>37</v>
      </c>
    </row>
    <row r="214" spans="1:10">
      <c r="A214" s="19" t="s">
        <v>609</v>
      </c>
      <c r="B214" s="19" t="s">
        <v>607</v>
      </c>
      <c r="C214" s="11">
        <v>43444</v>
      </c>
      <c r="D214" s="11">
        <v>43446</v>
      </c>
      <c r="E214" s="1" t="s">
        <v>86</v>
      </c>
      <c r="F214" s="1" t="s">
        <v>108</v>
      </c>
      <c r="G214" s="19" t="s">
        <v>610</v>
      </c>
      <c r="H214" s="13">
        <v>12.96</v>
      </c>
      <c r="I214" s="14" t="s">
        <v>518</v>
      </c>
      <c r="J214" s="14">
        <v>38</v>
      </c>
    </row>
    <row r="215" spans="1:10">
      <c r="A215" s="19" t="s">
        <v>611</v>
      </c>
      <c r="B215" s="19" t="s">
        <v>612</v>
      </c>
      <c r="C215" s="11">
        <v>43445</v>
      </c>
      <c r="D215" s="11">
        <v>43445</v>
      </c>
      <c r="E215" s="1" t="s">
        <v>86</v>
      </c>
      <c r="F215" s="1" t="s">
        <v>87</v>
      </c>
      <c r="G215" s="19" t="s">
        <v>613</v>
      </c>
      <c r="H215" s="13">
        <v>10.368</v>
      </c>
      <c r="I215" s="14" t="s">
        <v>518</v>
      </c>
      <c r="J215" s="14">
        <v>39</v>
      </c>
    </row>
    <row r="216" spans="1:10">
      <c r="A216" s="19" t="s">
        <v>614</v>
      </c>
      <c r="B216" s="19" t="s">
        <v>612</v>
      </c>
      <c r="C216" s="11">
        <v>43445</v>
      </c>
      <c r="D216" s="11">
        <v>43445</v>
      </c>
      <c r="E216" s="1" t="s">
        <v>91</v>
      </c>
      <c r="F216" s="1" t="s">
        <v>87</v>
      </c>
      <c r="G216" s="19" t="s">
        <v>279</v>
      </c>
      <c r="H216" s="13">
        <v>77.72</v>
      </c>
      <c r="I216" s="14" t="s">
        <v>518</v>
      </c>
      <c r="J216" s="14">
        <v>40</v>
      </c>
    </row>
    <row r="217" spans="1:10">
      <c r="A217" s="19" t="s">
        <v>615</v>
      </c>
      <c r="B217" s="19" t="s">
        <v>612</v>
      </c>
      <c r="C217" s="11">
        <v>43445</v>
      </c>
      <c r="D217" s="11">
        <v>43445</v>
      </c>
      <c r="E217" s="1" t="s">
        <v>91</v>
      </c>
      <c r="F217" s="1" t="s">
        <v>87</v>
      </c>
      <c r="G217" s="19" t="s">
        <v>616</v>
      </c>
      <c r="H217" s="13">
        <v>520.46400000000006</v>
      </c>
      <c r="I217" s="14" t="s">
        <v>518</v>
      </c>
      <c r="J217" s="14">
        <v>41</v>
      </c>
    </row>
    <row r="218" spans="1:10">
      <c r="A218" s="19" t="s">
        <v>617</v>
      </c>
      <c r="B218" s="19" t="s">
        <v>618</v>
      </c>
      <c r="C218" s="11">
        <v>43436</v>
      </c>
      <c r="D218" s="11">
        <v>43443</v>
      </c>
      <c r="E218" s="1" t="s">
        <v>86</v>
      </c>
      <c r="F218" s="1" t="s">
        <v>97</v>
      </c>
      <c r="G218" s="19" t="s">
        <v>619</v>
      </c>
      <c r="H218" s="13">
        <v>631.17600000000004</v>
      </c>
      <c r="I218" s="14" t="s">
        <v>518</v>
      </c>
      <c r="J218" s="14">
        <v>42</v>
      </c>
    </row>
    <row r="219" spans="1:10">
      <c r="A219" s="19" t="s">
        <v>620</v>
      </c>
      <c r="B219" s="19" t="s">
        <v>621</v>
      </c>
      <c r="C219" s="11">
        <v>43437</v>
      </c>
      <c r="D219" s="11">
        <v>43444</v>
      </c>
      <c r="E219" s="1" t="s">
        <v>86</v>
      </c>
      <c r="F219" s="1" t="s">
        <v>298</v>
      </c>
      <c r="G219" s="19" t="s">
        <v>622</v>
      </c>
      <c r="H219" s="13">
        <v>45.216000000000001</v>
      </c>
      <c r="I219" s="14" t="s">
        <v>518</v>
      </c>
      <c r="J219" s="14">
        <v>43</v>
      </c>
    </row>
    <row r="220" spans="1:10">
      <c r="A220" s="19" t="s">
        <v>623</v>
      </c>
      <c r="B220" s="19" t="s">
        <v>621</v>
      </c>
      <c r="C220" s="11">
        <v>43437</v>
      </c>
      <c r="D220" s="11">
        <v>43444</v>
      </c>
      <c r="E220" s="1" t="s">
        <v>86</v>
      </c>
      <c r="F220" s="1" t="s">
        <v>298</v>
      </c>
      <c r="G220" s="19" t="s">
        <v>624</v>
      </c>
      <c r="H220" s="13">
        <v>28.782</v>
      </c>
      <c r="I220" s="14" t="s">
        <v>518</v>
      </c>
      <c r="J220" s="14">
        <v>44</v>
      </c>
    </row>
    <row r="221" spans="1:10">
      <c r="A221" s="19" t="s">
        <v>625</v>
      </c>
      <c r="B221" s="19" t="s">
        <v>621</v>
      </c>
      <c r="C221" s="11">
        <v>43437</v>
      </c>
      <c r="D221" s="11">
        <v>43444</v>
      </c>
      <c r="E221" s="1" t="s">
        <v>86</v>
      </c>
      <c r="F221" s="1" t="s">
        <v>298</v>
      </c>
      <c r="G221" s="19" t="s">
        <v>626</v>
      </c>
      <c r="H221" s="13">
        <v>24.448</v>
      </c>
      <c r="I221" s="14" t="s">
        <v>518</v>
      </c>
      <c r="J221" s="14">
        <v>45</v>
      </c>
    </row>
    <row r="222" spans="1:10">
      <c r="A222" s="19" t="s">
        <v>627</v>
      </c>
      <c r="B222" s="19" t="s">
        <v>628</v>
      </c>
      <c r="C222" s="11">
        <v>43458</v>
      </c>
      <c r="D222" s="11">
        <v>43459</v>
      </c>
      <c r="E222" s="1" t="s">
        <v>107</v>
      </c>
      <c r="F222" s="1" t="s">
        <v>108</v>
      </c>
      <c r="G222" s="19" t="s">
        <v>629</v>
      </c>
      <c r="H222" s="13">
        <v>2879.9520000000002</v>
      </c>
      <c r="I222" s="14" t="s">
        <v>518</v>
      </c>
      <c r="J222" s="14">
        <v>46</v>
      </c>
    </row>
    <row r="223" spans="1:10">
      <c r="A223" s="19" t="s">
        <v>630</v>
      </c>
      <c r="B223" s="19" t="s">
        <v>628</v>
      </c>
      <c r="C223" s="11">
        <v>43458</v>
      </c>
      <c r="D223" s="11">
        <v>43459</v>
      </c>
      <c r="E223" s="1" t="s">
        <v>86</v>
      </c>
      <c r="F223" s="1" t="s">
        <v>108</v>
      </c>
      <c r="G223" s="19" t="s">
        <v>631</v>
      </c>
      <c r="H223" s="13">
        <v>90.48</v>
      </c>
      <c r="I223" s="14" t="s">
        <v>518</v>
      </c>
      <c r="J223" s="14">
        <v>47</v>
      </c>
    </row>
    <row r="224" spans="1:10">
      <c r="A224" s="19" t="s">
        <v>632</v>
      </c>
      <c r="B224" s="19" t="s">
        <v>633</v>
      </c>
      <c r="C224" s="11">
        <v>43437</v>
      </c>
      <c r="D224" s="11">
        <v>43441</v>
      </c>
      <c r="E224" s="1" t="s">
        <v>91</v>
      </c>
      <c r="F224" s="1" t="s">
        <v>108</v>
      </c>
      <c r="G224" s="19" t="s">
        <v>634</v>
      </c>
      <c r="H224" s="13">
        <v>521.96</v>
      </c>
      <c r="I224" s="14" t="s">
        <v>518</v>
      </c>
      <c r="J224" s="14">
        <v>48</v>
      </c>
    </row>
    <row r="225" spans="1:10">
      <c r="A225" s="19" t="s">
        <v>635</v>
      </c>
      <c r="B225" s="19" t="s">
        <v>636</v>
      </c>
      <c r="C225" s="11">
        <v>43449</v>
      </c>
      <c r="D225" s="11">
        <v>43453</v>
      </c>
      <c r="E225" s="1" t="s">
        <v>86</v>
      </c>
      <c r="F225" s="1" t="s">
        <v>87</v>
      </c>
      <c r="G225" s="19" t="s">
        <v>637</v>
      </c>
      <c r="H225" s="13">
        <v>10.192</v>
      </c>
      <c r="I225" s="14" t="s">
        <v>518</v>
      </c>
      <c r="J225" s="14">
        <v>49</v>
      </c>
    </row>
    <row r="226" spans="1:10">
      <c r="A226" s="19" t="s">
        <v>638</v>
      </c>
      <c r="B226" s="19" t="s">
        <v>639</v>
      </c>
      <c r="C226" s="11">
        <v>43451</v>
      </c>
      <c r="D226" s="11">
        <v>43455</v>
      </c>
      <c r="E226" s="1" t="s">
        <v>86</v>
      </c>
      <c r="F226" s="1" t="s">
        <v>108</v>
      </c>
      <c r="G226" s="19" t="s">
        <v>640</v>
      </c>
      <c r="H226" s="13">
        <v>481.32</v>
      </c>
      <c r="I226" s="14" t="s">
        <v>518</v>
      </c>
      <c r="J226" s="14">
        <v>50</v>
      </c>
    </row>
    <row r="227" spans="1:10">
      <c r="A227" s="19" t="s">
        <v>641</v>
      </c>
      <c r="B227" s="19" t="s">
        <v>639</v>
      </c>
      <c r="C227" s="11">
        <v>43451</v>
      </c>
      <c r="D227" s="11">
        <v>43455</v>
      </c>
      <c r="E227" s="1" t="s">
        <v>86</v>
      </c>
      <c r="F227" s="1" t="s">
        <v>108</v>
      </c>
      <c r="G227" s="19" t="s">
        <v>642</v>
      </c>
      <c r="H227" s="13">
        <v>13.98</v>
      </c>
      <c r="I227" s="14" t="s">
        <v>518</v>
      </c>
      <c r="J227" s="14">
        <v>51</v>
      </c>
    </row>
    <row r="228" spans="1:10">
      <c r="A228" s="19" t="s">
        <v>643</v>
      </c>
      <c r="B228" s="19" t="s">
        <v>644</v>
      </c>
      <c r="C228" s="11">
        <v>43459</v>
      </c>
      <c r="D228" s="11">
        <v>43463</v>
      </c>
      <c r="E228" s="1" t="s">
        <v>86</v>
      </c>
      <c r="F228" s="1" t="s">
        <v>298</v>
      </c>
      <c r="G228" s="19" t="s">
        <v>645</v>
      </c>
      <c r="H228" s="13">
        <v>96.08</v>
      </c>
      <c r="I228" s="14" t="s">
        <v>518</v>
      </c>
      <c r="J228" s="14">
        <v>52</v>
      </c>
    </row>
    <row r="229" spans="1:10">
      <c r="A229" s="19" t="s">
        <v>646</v>
      </c>
      <c r="B229" s="19" t="s">
        <v>644</v>
      </c>
      <c r="C229" s="11">
        <v>43459</v>
      </c>
      <c r="D229" s="11">
        <v>43463</v>
      </c>
      <c r="E229" s="1" t="s">
        <v>86</v>
      </c>
      <c r="F229" s="1" t="s">
        <v>298</v>
      </c>
      <c r="G229" s="19" t="s">
        <v>647</v>
      </c>
      <c r="H229" s="13">
        <v>3.62</v>
      </c>
      <c r="I229" s="14" t="s">
        <v>518</v>
      </c>
      <c r="J229" s="14">
        <v>53</v>
      </c>
    </row>
    <row r="230" spans="1:10">
      <c r="A230" s="19" t="s">
        <v>648</v>
      </c>
      <c r="B230" s="19" t="s">
        <v>644</v>
      </c>
      <c r="C230" s="11">
        <v>43459</v>
      </c>
      <c r="D230" s="11">
        <v>43463</v>
      </c>
      <c r="E230" s="1" t="s">
        <v>86</v>
      </c>
      <c r="F230" s="1" t="s">
        <v>298</v>
      </c>
      <c r="G230" s="19" t="s">
        <v>590</v>
      </c>
      <c r="H230" s="13">
        <v>629.1</v>
      </c>
      <c r="I230" s="14" t="s">
        <v>518</v>
      </c>
      <c r="J230" s="14">
        <v>54</v>
      </c>
    </row>
    <row r="231" spans="1:10">
      <c r="A231" s="19" t="s">
        <v>649</v>
      </c>
      <c r="B231" s="19" t="s">
        <v>644</v>
      </c>
      <c r="C231" s="11">
        <v>43459</v>
      </c>
      <c r="D231" s="11">
        <v>43463</v>
      </c>
      <c r="E231" s="1" t="s">
        <v>107</v>
      </c>
      <c r="F231" s="1" t="s">
        <v>298</v>
      </c>
      <c r="G231" s="19" t="s">
        <v>650</v>
      </c>
      <c r="H231" s="13">
        <v>90.48</v>
      </c>
      <c r="I231" s="14" t="s">
        <v>518</v>
      </c>
      <c r="J231" s="14">
        <v>55</v>
      </c>
    </row>
    <row r="232" spans="1:10">
      <c r="A232" s="19" t="s">
        <v>651</v>
      </c>
      <c r="B232" s="19" t="s">
        <v>652</v>
      </c>
      <c r="C232" s="11">
        <v>43435</v>
      </c>
      <c r="D232" s="11">
        <v>43440</v>
      </c>
      <c r="E232" s="1" t="s">
        <v>86</v>
      </c>
      <c r="F232" s="1" t="s">
        <v>97</v>
      </c>
      <c r="G232" s="19" t="s">
        <v>653</v>
      </c>
      <c r="H232" s="13">
        <v>19.440000000000001</v>
      </c>
      <c r="I232" s="14" t="s">
        <v>518</v>
      </c>
      <c r="J232" s="14">
        <v>56</v>
      </c>
    </row>
    <row r="233" spans="1:10">
      <c r="A233" s="19" t="s">
        <v>654</v>
      </c>
      <c r="B233" s="19" t="s">
        <v>652</v>
      </c>
      <c r="C233" s="11">
        <v>43435</v>
      </c>
      <c r="D233" s="11">
        <v>43440</v>
      </c>
      <c r="E233" s="1" t="s">
        <v>91</v>
      </c>
      <c r="F233" s="1" t="s">
        <v>97</v>
      </c>
      <c r="G233" s="19" t="s">
        <v>655</v>
      </c>
      <c r="H233" s="13">
        <v>897.15</v>
      </c>
      <c r="I233" s="14" t="s">
        <v>518</v>
      </c>
      <c r="J233" s="14">
        <v>57</v>
      </c>
    </row>
    <row r="234" spans="1:10">
      <c r="A234" s="19" t="s">
        <v>656</v>
      </c>
      <c r="B234" s="19" t="s">
        <v>657</v>
      </c>
      <c r="C234" s="11">
        <v>43455</v>
      </c>
      <c r="D234" s="11">
        <v>43461</v>
      </c>
      <c r="E234" s="1" t="s">
        <v>86</v>
      </c>
      <c r="F234" s="1" t="s">
        <v>87</v>
      </c>
      <c r="G234" s="19" t="s">
        <v>658</v>
      </c>
      <c r="H234" s="13">
        <v>375.34</v>
      </c>
      <c r="I234" s="14" t="s">
        <v>518</v>
      </c>
      <c r="J234" s="14">
        <v>58</v>
      </c>
    </row>
    <row r="235" spans="1:10">
      <c r="A235" s="19" t="s">
        <v>659</v>
      </c>
      <c r="B235" s="19" t="s">
        <v>660</v>
      </c>
      <c r="C235" s="11">
        <v>43442</v>
      </c>
      <c r="D235" s="11">
        <v>43446</v>
      </c>
      <c r="E235" s="1" t="s">
        <v>86</v>
      </c>
      <c r="F235" s="1" t="s">
        <v>108</v>
      </c>
      <c r="G235" s="19" t="s">
        <v>661</v>
      </c>
      <c r="H235" s="13">
        <v>69.48</v>
      </c>
      <c r="I235" s="14" t="s">
        <v>518</v>
      </c>
      <c r="J235" s="14">
        <v>59</v>
      </c>
    </row>
    <row r="236" spans="1:10">
      <c r="A236" s="19" t="s">
        <v>662</v>
      </c>
      <c r="B236" s="19" t="s">
        <v>663</v>
      </c>
      <c r="C236" s="11">
        <v>43441</v>
      </c>
      <c r="D236" s="11">
        <v>43447</v>
      </c>
      <c r="E236" s="1" t="s">
        <v>86</v>
      </c>
      <c r="F236" s="1" t="s">
        <v>87</v>
      </c>
      <c r="G236" s="19" t="s">
        <v>664</v>
      </c>
      <c r="H236" s="13">
        <v>1889.99</v>
      </c>
      <c r="I236" s="14" t="s">
        <v>518</v>
      </c>
      <c r="J236" s="14">
        <v>60</v>
      </c>
    </row>
    <row r="237" spans="1:10">
      <c r="A237" s="19" t="s">
        <v>665</v>
      </c>
      <c r="B237" s="19" t="s">
        <v>666</v>
      </c>
      <c r="C237" s="11">
        <v>43464</v>
      </c>
      <c r="D237" s="11">
        <v>43468</v>
      </c>
      <c r="E237" s="1" t="s">
        <v>86</v>
      </c>
      <c r="F237" s="1" t="s">
        <v>108</v>
      </c>
      <c r="G237" s="19" t="s">
        <v>667</v>
      </c>
      <c r="H237" s="13">
        <v>3.024</v>
      </c>
      <c r="I237" s="14" t="s">
        <v>518</v>
      </c>
      <c r="J237" s="14">
        <v>61</v>
      </c>
    </row>
    <row r="238" spans="1:10">
      <c r="A238" s="19" t="s">
        <v>668</v>
      </c>
      <c r="B238" s="19" t="s">
        <v>669</v>
      </c>
      <c r="C238" s="11">
        <v>43463</v>
      </c>
      <c r="D238" s="11">
        <v>43470</v>
      </c>
      <c r="E238" s="1" t="s">
        <v>91</v>
      </c>
      <c r="F238" s="1" t="s">
        <v>108</v>
      </c>
      <c r="G238" s="19" t="s">
        <v>670</v>
      </c>
      <c r="H238" s="13">
        <v>101.12</v>
      </c>
      <c r="I238" s="14" t="s">
        <v>671</v>
      </c>
      <c r="J238" s="14">
        <v>2</v>
      </c>
    </row>
    <row r="239" spans="1:10">
      <c r="A239" s="19" t="s">
        <v>672</v>
      </c>
      <c r="B239" s="19" t="s">
        <v>673</v>
      </c>
      <c r="C239" s="11">
        <v>43458</v>
      </c>
      <c r="D239" s="11">
        <v>43465</v>
      </c>
      <c r="E239" s="1" t="s">
        <v>91</v>
      </c>
      <c r="F239" s="1" t="s">
        <v>108</v>
      </c>
      <c r="G239" s="19" t="s">
        <v>674</v>
      </c>
      <c r="H239" s="13">
        <v>8.5440000000000005</v>
      </c>
      <c r="I239" s="14" t="s">
        <v>671</v>
      </c>
      <c r="J239" s="14">
        <v>3</v>
      </c>
    </row>
    <row r="240" spans="1:10">
      <c r="A240" s="19" t="s">
        <v>675</v>
      </c>
      <c r="B240" s="19" t="s">
        <v>673</v>
      </c>
      <c r="C240" s="11">
        <v>43458</v>
      </c>
      <c r="D240" s="11">
        <v>43465</v>
      </c>
      <c r="E240" s="1" t="s">
        <v>91</v>
      </c>
      <c r="F240" s="1" t="s">
        <v>108</v>
      </c>
      <c r="G240" s="19" t="s">
        <v>676</v>
      </c>
      <c r="H240" s="13">
        <v>842.37599999999998</v>
      </c>
      <c r="I240" s="14" t="s">
        <v>671</v>
      </c>
      <c r="J240" s="14">
        <v>4</v>
      </c>
    </row>
    <row r="241" spans="1:10">
      <c r="A241" s="19" t="s">
        <v>677</v>
      </c>
      <c r="B241" s="19" t="s">
        <v>678</v>
      </c>
      <c r="C241" s="11">
        <v>43448</v>
      </c>
      <c r="D241" s="11">
        <v>43454</v>
      </c>
      <c r="E241" s="1" t="s">
        <v>107</v>
      </c>
      <c r="F241" s="1" t="s">
        <v>298</v>
      </c>
      <c r="G241" s="19" t="s">
        <v>679</v>
      </c>
      <c r="H241" s="13">
        <v>159.80000000000001</v>
      </c>
      <c r="I241" s="14" t="s">
        <v>671</v>
      </c>
      <c r="J241" s="14">
        <v>5</v>
      </c>
    </row>
    <row r="242" spans="1:10">
      <c r="A242" s="19" t="s">
        <v>680</v>
      </c>
      <c r="B242" s="19" t="s">
        <v>678</v>
      </c>
      <c r="C242" s="11">
        <v>43448</v>
      </c>
      <c r="D242" s="11">
        <v>43454</v>
      </c>
      <c r="E242" s="1" t="s">
        <v>107</v>
      </c>
      <c r="F242" s="1" t="s">
        <v>298</v>
      </c>
      <c r="G242" s="19" t="s">
        <v>681</v>
      </c>
      <c r="H242" s="13">
        <v>44.75</v>
      </c>
      <c r="I242" s="14" t="s">
        <v>671</v>
      </c>
      <c r="J242" s="14">
        <v>6</v>
      </c>
    </row>
    <row r="243" spans="1:10">
      <c r="A243" s="19" t="s">
        <v>682</v>
      </c>
      <c r="B243" s="19" t="s">
        <v>683</v>
      </c>
      <c r="C243" s="11">
        <v>43443</v>
      </c>
      <c r="D243" s="11">
        <v>43450</v>
      </c>
      <c r="E243" s="1" t="s">
        <v>86</v>
      </c>
      <c r="F243" s="1" t="s">
        <v>87</v>
      </c>
      <c r="G243" s="19" t="s">
        <v>684</v>
      </c>
      <c r="H243" s="13">
        <v>143.85599999999999</v>
      </c>
      <c r="I243" s="14" t="s">
        <v>671</v>
      </c>
      <c r="J243" s="14">
        <v>7</v>
      </c>
    </row>
    <row r="244" spans="1:10">
      <c r="A244" s="19" t="s">
        <v>685</v>
      </c>
      <c r="B244" s="19" t="s">
        <v>686</v>
      </c>
      <c r="C244" s="11">
        <v>43442</v>
      </c>
      <c r="D244" s="11">
        <v>43448</v>
      </c>
      <c r="E244" s="1" t="s">
        <v>86</v>
      </c>
      <c r="F244" s="1" t="s">
        <v>108</v>
      </c>
      <c r="G244" s="19" t="s">
        <v>687</v>
      </c>
      <c r="H244" s="13">
        <v>87.92</v>
      </c>
      <c r="I244" s="14" t="s">
        <v>671</v>
      </c>
      <c r="J244" s="14">
        <v>8</v>
      </c>
    </row>
    <row r="245" spans="1:10">
      <c r="A245" s="19" t="s">
        <v>688</v>
      </c>
      <c r="B245" s="19" t="s">
        <v>686</v>
      </c>
      <c r="C245" s="11">
        <v>43442</v>
      </c>
      <c r="D245" s="11">
        <v>43448</v>
      </c>
      <c r="E245" s="1" t="s">
        <v>86</v>
      </c>
      <c r="F245" s="1" t="s">
        <v>108</v>
      </c>
      <c r="G245" s="19" t="s">
        <v>689</v>
      </c>
      <c r="H245" s="13">
        <v>22.423999999999999</v>
      </c>
      <c r="I245" s="14" t="s">
        <v>671</v>
      </c>
      <c r="J245" s="14">
        <v>9</v>
      </c>
    </row>
    <row r="246" spans="1:10">
      <c r="A246" s="19" t="s">
        <v>690</v>
      </c>
      <c r="B246" s="19" t="s">
        <v>686</v>
      </c>
      <c r="C246" s="11">
        <v>43442</v>
      </c>
      <c r="D246" s="11">
        <v>43448</v>
      </c>
      <c r="E246" s="1" t="s">
        <v>86</v>
      </c>
      <c r="F246" s="1" t="s">
        <v>108</v>
      </c>
      <c r="G246" s="19" t="s">
        <v>631</v>
      </c>
      <c r="H246" s="13">
        <v>90.48</v>
      </c>
      <c r="I246" s="14" t="s">
        <v>671</v>
      </c>
      <c r="J246" s="14">
        <v>10</v>
      </c>
    </row>
    <row r="247" spans="1:10">
      <c r="A247" s="19" t="s">
        <v>691</v>
      </c>
      <c r="B247" s="19" t="s">
        <v>686</v>
      </c>
      <c r="C247" s="11">
        <v>43442</v>
      </c>
      <c r="D247" s="11">
        <v>43448</v>
      </c>
      <c r="E247" s="1" t="s">
        <v>86</v>
      </c>
      <c r="F247" s="1" t="s">
        <v>108</v>
      </c>
      <c r="G247" s="19" t="s">
        <v>692</v>
      </c>
      <c r="H247" s="13">
        <v>42.76</v>
      </c>
      <c r="I247" s="14" t="s">
        <v>671</v>
      </c>
      <c r="J247" s="14">
        <v>11</v>
      </c>
    </row>
    <row r="248" spans="1:10">
      <c r="A248" s="19" t="s">
        <v>693</v>
      </c>
      <c r="B248" s="19" t="s">
        <v>694</v>
      </c>
      <c r="C248" s="11">
        <v>43463</v>
      </c>
      <c r="D248" s="11">
        <v>43467</v>
      </c>
      <c r="E248" s="1" t="s">
        <v>86</v>
      </c>
      <c r="F248" s="1" t="s">
        <v>108</v>
      </c>
      <c r="G248" s="19" t="s">
        <v>695</v>
      </c>
      <c r="H248" s="13">
        <v>19.600000000000001</v>
      </c>
      <c r="I248" s="14" t="s">
        <v>671</v>
      </c>
      <c r="J248" s="14">
        <v>12</v>
      </c>
    </row>
    <row r="249" spans="1:10">
      <c r="A249" s="19" t="s">
        <v>696</v>
      </c>
      <c r="B249" s="19" t="s">
        <v>694</v>
      </c>
      <c r="C249" s="11">
        <v>43463</v>
      </c>
      <c r="D249" s="11">
        <v>43467</v>
      </c>
      <c r="E249" s="1" t="s">
        <v>91</v>
      </c>
      <c r="F249" s="1" t="s">
        <v>108</v>
      </c>
      <c r="G249" s="19" t="s">
        <v>697</v>
      </c>
      <c r="H249" s="13">
        <v>68.459999999999994</v>
      </c>
      <c r="I249" s="14" t="s">
        <v>671</v>
      </c>
      <c r="J249" s="14">
        <v>13</v>
      </c>
    </row>
    <row r="250" spans="1:10">
      <c r="A250" s="19" t="s">
        <v>698</v>
      </c>
      <c r="B250" s="19" t="s">
        <v>699</v>
      </c>
      <c r="C250" s="11">
        <v>43453</v>
      </c>
      <c r="D250" s="11">
        <v>43457</v>
      </c>
      <c r="E250" s="1" t="s">
        <v>91</v>
      </c>
      <c r="F250" s="1" t="s">
        <v>108</v>
      </c>
      <c r="G250" s="19" t="s">
        <v>700</v>
      </c>
      <c r="H250" s="13">
        <v>13.36</v>
      </c>
      <c r="I250" s="14" t="s">
        <v>671</v>
      </c>
      <c r="J250" s="14">
        <v>14</v>
      </c>
    </row>
    <row r="251" spans="1:10">
      <c r="A251" s="19" t="s">
        <v>701</v>
      </c>
      <c r="B251" s="19" t="s">
        <v>699</v>
      </c>
      <c r="C251" s="11">
        <v>43453</v>
      </c>
      <c r="D251" s="11">
        <v>43457</v>
      </c>
      <c r="E251" s="1" t="s">
        <v>86</v>
      </c>
      <c r="F251" s="1" t="s">
        <v>108</v>
      </c>
      <c r="G251" s="19" t="s">
        <v>702</v>
      </c>
      <c r="H251" s="13">
        <v>78.256</v>
      </c>
      <c r="I251" s="14" t="s">
        <v>671</v>
      </c>
      <c r="J251" s="14">
        <v>15</v>
      </c>
    </row>
    <row r="252" spans="1:10">
      <c r="A252" s="19" t="s">
        <v>703</v>
      </c>
      <c r="B252" s="19" t="s">
        <v>699</v>
      </c>
      <c r="C252" s="11">
        <v>43453</v>
      </c>
      <c r="D252" s="11">
        <v>43457</v>
      </c>
      <c r="E252" s="1" t="s">
        <v>91</v>
      </c>
      <c r="F252" s="1" t="s">
        <v>108</v>
      </c>
      <c r="G252" s="19" t="s">
        <v>704</v>
      </c>
      <c r="H252" s="13">
        <v>102.018</v>
      </c>
      <c r="I252" s="14" t="s">
        <v>671</v>
      </c>
      <c r="J252" s="14">
        <v>16</v>
      </c>
    </row>
    <row r="253" spans="1:10">
      <c r="A253" s="19" t="s">
        <v>705</v>
      </c>
      <c r="B253" s="19" t="s">
        <v>706</v>
      </c>
      <c r="C253" s="11">
        <v>43460</v>
      </c>
      <c r="D253" s="11">
        <v>43460</v>
      </c>
      <c r="E253" s="1" t="s">
        <v>86</v>
      </c>
      <c r="F253" s="1" t="s">
        <v>87</v>
      </c>
      <c r="G253" s="19" t="s">
        <v>658</v>
      </c>
      <c r="H253" s="13">
        <v>750.68</v>
      </c>
      <c r="I253" s="14" t="s">
        <v>671</v>
      </c>
      <c r="J253" s="14">
        <v>17</v>
      </c>
    </row>
    <row r="254" spans="1:10">
      <c r="A254" s="19" t="s">
        <v>707</v>
      </c>
      <c r="B254" s="19" t="s">
        <v>708</v>
      </c>
      <c r="C254" s="11">
        <v>43438</v>
      </c>
      <c r="D254" s="11">
        <v>43443</v>
      </c>
      <c r="E254" s="1" t="s">
        <v>91</v>
      </c>
      <c r="F254" s="1" t="s">
        <v>97</v>
      </c>
      <c r="G254" s="19" t="s">
        <v>709</v>
      </c>
      <c r="H254" s="13">
        <v>239.96</v>
      </c>
      <c r="I254" s="14" t="s">
        <v>671</v>
      </c>
      <c r="J254" s="14">
        <v>18</v>
      </c>
    </row>
    <row r="255" spans="1:10">
      <c r="A255" s="19" t="s">
        <v>710</v>
      </c>
      <c r="B255" s="19" t="s">
        <v>708</v>
      </c>
      <c r="C255" s="11">
        <v>43438</v>
      </c>
      <c r="D255" s="11">
        <v>43443</v>
      </c>
      <c r="E255" s="1" t="s">
        <v>91</v>
      </c>
      <c r="F255" s="1" t="s">
        <v>97</v>
      </c>
      <c r="G255" s="19" t="s">
        <v>697</v>
      </c>
      <c r="H255" s="13">
        <v>54.768000000000001</v>
      </c>
      <c r="I255" s="14" t="s">
        <v>671</v>
      </c>
      <c r="J255" s="14">
        <v>19</v>
      </c>
    </row>
    <row r="256" spans="1:10">
      <c r="A256" s="19" t="s">
        <v>711</v>
      </c>
      <c r="B256" s="19" t="s">
        <v>708</v>
      </c>
      <c r="C256" s="11">
        <v>43438</v>
      </c>
      <c r="D256" s="11">
        <v>43443</v>
      </c>
      <c r="E256" s="1" t="s">
        <v>86</v>
      </c>
      <c r="F256" s="1" t="s">
        <v>97</v>
      </c>
      <c r="G256" s="19" t="s">
        <v>712</v>
      </c>
      <c r="H256" s="13">
        <v>13.391999999999999</v>
      </c>
      <c r="I256" s="14" t="s">
        <v>671</v>
      </c>
      <c r="J256" s="14">
        <v>20</v>
      </c>
    </row>
    <row r="257" spans="1:10">
      <c r="A257" s="19" t="s">
        <v>713</v>
      </c>
      <c r="B257" s="19" t="s">
        <v>708</v>
      </c>
      <c r="C257" s="11">
        <v>43438</v>
      </c>
      <c r="D257" s="11">
        <v>43443</v>
      </c>
      <c r="E257" s="1" t="s">
        <v>86</v>
      </c>
      <c r="F257" s="1" t="s">
        <v>97</v>
      </c>
      <c r="G257" s="19" t="s">
        <v>714</v>
      </c>
      <c r="H257" s="13">
        <v>23.92</v>
      </c>
      <c r="I257" s="14" t="s">
        <v>671</v>
      </c>
      <c r="J257" s="14">
        <v>21</v>
      </c>
    </row>
    <row r="258" spans="1:10">
      <c r="A258" s="19" t="s">
        <v>715</v>
      </c>
      <c r="B258" s="19" t="s">
        <v>708</v>
      </c>
      <c r="C258" s="11">
        <v>43438</v>
      </c>
      <c r="D258" s="11">
        <v>43443</v>
      </c>
      <c r="E258" s="1" t="s">
        <v>107</v>
      </c>
      <c r="F258" s="1" t="s">
        <v>97</v>
      </c>
      <c r="G258" s="19" t="s">
        <v>716</v>
      </c>
      <c r="H258" s="13">
        <v>255.96799999999999</v>
      </c>
      <c r="I258" s="14" t="s">
        <v>671</v>
      </c>
      <c r="J258" s="14">
        <v>22</v>
      </c>
    </row>
    <row r="259" spans="1:10">
      <c r="A259" s="19" t="s">
        <v>717</v>
      </c>
      <c r="B259" s="19" t="s">
        <v>718</v>
      </c>
      <c r="C259" s="11">
        <v>43436</v>
      </c>
      <c r="D259" s="11">
        <v>43440</v>
      </c>
      <c r="E259" s="1" t="s">
        <v>107</v>
      </c>
      <c r="F259" s="1" t="s">
        <v>87</v>
      </c>
      <c r="G259" s="19" t="s">
        <v>719</v>
      </c>
      <c r="H259" s="13">
        <v>2479.96</v>
      </c>
      <c r="I259" s="14" t="s">
        <v>671</v>
      </c>
      <c r="J259" s="14">
        <v>23</v>
      </c>
    </row>
    <row r="260" spans="1:10">
      <c r="A260" s="19" t="s">
        <v>720</v>
      </c>
      <c r="B260" s="19" t="s">
        <v>721</v>
      </c>
      <c r="C260" s="11">
        <v>43442</v>
      </c>
      <c r="D260" s="11">
        <v>43447</v>
      </c>
      <c r="E260" s="1" t="s">
        <v>107</v>
      </c>
      <c r="F260" s="1" t="s">
        <v>87</v>
      </c>
      <c r="G260" s="19" t="s">
        <v>722</v>
      </c>
      <c r="H260" s="13">
        <v>178.11</v>
      </c>
      <c r="I260" s="14" t="s">
        <v>671</v>
      </c>
      <c r="J260" s="14">
        <v>24</v>
      </c>
    </row>
    <row r="261" spans="1:10">
      <c r="A261" s="19" t="s">
        <v>723</v>
      </c>
      <c r="B261" s="19" t="s">
        <v>721</v>
      </c>
      <c r="C261" s="11">
        <v>43442</v>
      </c>
      <c r="D261" s="11">
        <v>43447</v>
      </c>
      <c r="E261" s="1" t="s">
        <v>86</v>
      </c>
      <c r="F261" s="1" t="s">
        <v>87</v>
      </c>
      <c r="G261" s="19" t="s">
        <v>724</v>
      </c>
      <c r="H261" s="13">
        <v>1089.75</v>
      </c>
      <c r="I261" s="14" t="s">
        <v>671</v>
      </c>
      <c r="J261" s="14">
        <v>25</v>
      </c>
    </row>
    <row r="262" spans="1:10">
      <c r="A262" s="19" t="s">
        <v>725</v>
      </c>
      <c r="B262" s="19" t="s">
        <v>721</v>
      </c>
      <c r="C262" s="11">
        <v>43442</v>
      </c>
      <c r="D262" s="11">
        <v>43447</v>
      </c>
      <c r="E262" s="1" t="s">
        <v>86</v>
      </c>
      <c r="F262" s="1" t="s">
        <v>87</v>
      </c>
      <c r="G262" s="19" t="s">
        <v>726</v>
      </c>
      <c r="H262" s="13">
        <v>61.06</v>
      </c>
      <c r="I262" s="14" t="s">
        <v>671</v>
      </c>
      <c r="J262" s="14">
        <v>26</v>
      </c>
    </row>
    <row r="263" spans="1:10">
      <c r="A263" s="19" t="s">
        <v>727</v>
      </c>
      <c r="B263" s="19" t="s">
        <v>721</v>
      </c>
      <c r="C263" s="11">
        <v>43442</v>
      </c>
      <c r="D263" s="11">
        <v>43447</v>
      </c>
      <c r="E263" s="1" t="s">
        <v>91</v>
      </c>
      <c r="F263" s="1" t="s">
        <v>87</v>
      </c>
      <c r="G263" s="19" t="s">
        <v>728</v>
      </c>
      <c r="H263" s="13">
        <v>459.92</v>
      </c>
      <c r="I263" s="14" t="s">
        <v>671</v>
      </c>
      <c r="J263" s="14">
        <v>27</v>
      </c>
    </row>
    <row r="264" spans="1:10">
      <c r="A264" s="19" t="s">
        <v>729</v>
      </c>
      <c r="B264" s="19" t="s">
        <v>721</v>
      </c>
      <c r="C264" s="11">
        <v>43442</v>
      </c>
      <c r="D264" s="11">
        <v>43447</v>
      </c>
      <c r="E264" s="1" t="s">
        <v>86</v>
      </c>
      <c r="F264" s="1" t="s">
        <v>87</v>
      </c>
      <c r="G264" s="19" t="s">
        <v>730</v>
      </c>
      <c r="H264" s="13">
        <v>27.52</v>
      </c>
      <c r="I264" s="14" t="s">
        <v>671</v>
      </c>
      <c r="J264" s="14">
        <v>28</v>
      </c>
    </row>
    <row r="265" spans="1:10">
      <c r="A265" s="19" t="s">
        <v>731</v>
      </c>
      <c r="B265" s="19" t="s">
        <v>732</v>
      </c>
      <c r="C265" s="11">
        <v>43445</v>
      </c>
      <c r="D265" s="11">
        <v>43452</v>
      </c>
      <c r="E265" s="1" t="s">
        <v>107</v>
      </c>
      <c r="F265" s="1" t="s">
        <v>97</v>
      </c>
      <c r="G265" s="19" t="s">
        <v>733</v>
      </c>
      <c r="H265" s="13">
        <v>128.85</v>
      </c>
      <c r="I265" s="14" t="s">
        <v>671</v>
      </c>
      <c r="J265" s="14">
        <v>29</v>
      </c>
    </row>
    <row r="266" spans="1:10">
      <c r="A266" s="19" t="s">
        <v>734</v>
      </c>
      <c r="B266" s="19" t="s">
        <v>735</v>
      </c>
      <c r="C266" s="11">
        <v>43459</v>
      </c>
      <c r="D266" s="11">
        <v>43463</v>
      </c>
      <c r="E266" s="1" t="s">
        <v>86</v>
      </c>
      <c r="F266" s="1" t="s">
        <v>108</v>
      </c>
      <c r="G266" s="19" t="s">
        <v>736</v>
      </c>
      <c r="H266" s="13">
        <v>153.55199999999999</v>
      </c>
      <c r="I266" s="14" t="s">
        <v>671</v>
      </c>
      <c r="J266" s="14">
        <v>30</v>
      </c>
    </row>
    <row r="267" spans="1:10">
      <c r="A267" s="19" t="s">
        <v>737</v>
      </c>
      <c r="B267" s="19" t="s">
        <v>735</v>
      </c>
      <c r="C267" s="11">
        <v>43459</v>
      </c>
      <c r="D267" s="11">
        <v>43463</v>
      </c>
      <c r="E267" s="1" t="s">
        <v>86</v>
      </c>
      <c r="F267" s="1" t="s">
        <v>108</v>
      </c>
      <c r="G267" s="19" t="s">
        <v>738</v>
      </c>
      <c r="H267" s="13">
        <v>270.62</v>
      </c>
      <c r="I267" s="14" t="s">
        <v>671</v>
      </c>
      <c r="J267" s="14">
        <v>31</v>
      </c>
    </row>
    <row r="268" spans="1:10">
      <c r="A268" s="19" t="s">
        <v>739</v>
      </c>
      <c r="B268" s="19" t="s">
        <v>740</v>
      </c>
      <c r="C268" s="11">
        <v>43462</v>
      </c>
      <c r="D268" s="11">
        <v>43465</v>
      </c>
      <c r="E268" s="1" t="s">
        <v>86</v>
      </c>
      <c r="F268" s="1" t="s">
        <v>108</v>
      </c>
      <c r="G268" s="19" t="s">
        <v>741</v>
      </c>
      <c r="H268" s="13">
        <v>1.1879999999999999</v>
      </c>
      <c r="I268" s="14" t="s">
        <v>671</v>
      </c>
      <c r="J268" s="14">
        <v>32</v>
      </c>
    </row>
    <row r="269" spans="1:10">
      <c r="A269" s="19" t="s">
        <v>742</v>
      </c>
      <c r="B269" s="19" t="s">
        <v>743</v>
      </c>
      <c r="C269" s="11">
        <v>43438</v>
      </c>
      <c r="D269" s="11">
        <v>43443</v>
      </c>
      <c r="E269" s="1" t="s">
        <v>86</v>
      </c>
      <c r="F269" s="1" t="s">
        <v>87</v>
      </c>
      <c r="G269" s="19" t="s">
        <v>744</v>
      </c>
      <c r="H269" s="13">
        <v>61.567999999999998</v>
      </c>
      <c r="I269" s="14" t="s">
        <v>671</v>
      </c>
      <c r="J269" s="14">
        <v>33</v>
      </c>
    </row>
    <row r="270" spans="1:10">
      <c r="A270" s="19" t="s">
        <v>745</v>
      </c>
      <c r="B270" s="19" t="s">
        <v>746</v>
      </c>
      <c r="C270" s="11">
        <v>43462</v>
      </c>
      <c r="D270" s="11">
        <v>43465</v>
      </c>
      <c r="E270" s="1" t="s">
        <v>91</v>
      </c>
      <c r="F270" s="1" t="s">
        <v>108</v>
      </c>
      <c r="G270" s="19" t="s">
        <v>747</v>
      </c>
      <c r="H270" s="13">
        <v>340.70400000000001</v>
      </c>
      <c r="I270" s="14" t="s">
        <v>671</v>
      </c>
      <c r="J270" s="14">
        <v>34</v>
      </c>
    </row>
    <row r="271" spans="1:10">
      <c r="A271" s="19" t="s">
        <v>748</v>
      </c>
      <c r="B271" s="19" t="s">
        <v>749</v>
      </c>
      <c r="C271" s="11">
        <v>43447</v>
      </c>
      <c r="D271" s="11">
        <v>43447</v>
      </c>
      <c r="E271" s="1" t="s">
        <v>86</v>
      </c>
      <c r="F271" s="1" t="s">
        <v>108</v>
      </c>
      <c r="G271" s="19" t="s">
        <v>750</v>
      </c>
      <c r="H271" s="13">
        <v>31.44</v>
      </c>
      <c r="I271" s="14" t="s">
        <v>671</v>
      </c>
      <c r="J271" s="14">
        <v>35</v>
      </c>
    </row>
    <row r="272" spans="1:10">
      <c r="A272" s="19" t="s">
        <v>751</v>
      </c>
      <c r="B272" s="19" t="s">
        <v>752</v>
      </c>
      <c r="C272" s="11">
        <v>43456</v>
      </c>
      <c r="D272" s="11">
        <v>43460</v>
      </c>
      <c r="E272" s="1" t="s">
        <v>86</v>
      </c>
      <c r="F272" s="1" t="s">
        <v>87</v>
      </c>
      <c r="G272" s="19" t="s">
        <v>753</v>
      </c>
      <c r="H272" s="13">
        <v>25.92</v>
      </c>
      <c r="I272" s="14" t="s">
        <v>671</v>
      </c>
      <c r="J272" s="14">
        <v>36</v>
      </c>
    </row>
    <row r="273" spans="1:10">
      <c r="A273" s="19" t="s">
        <v>754</v>
      </c>
      <c r="B273" s="19" t="s">
        <v>752</v>
      </c>
      <c r="C273" s="11">
        <v>43456</v>
      </c>
      <c r="D273" s="11">
        <v>43460</v>
      </c>
      <c r="E273" s="1" t="s">
        <v>86</v>
      </c>
      <c r="F273" s="1" t="s">
        <v>87</v>
      </c>
      <c r="G273" s="19" t="s">
        <v>540</v>
      </c>
      <c r="H273" s="13">
        <v>6.33</v>
      </c>
      <c r="I273" s="14" t="s">
        <v>671</v>
      </c>
      <c r="J273" s="14">
        <v>37</v>
      </c>
    </row>
    <row r="274" spans="1:10">
      <c r="A274" s="19" t="s">
        <v>755</v>
      </c>
      <c r="B274" s="19" t="s">
        <v>752</v>
      </c>
      <c r="C274" s="11">
        <v>43456</v>
      </c>
      <c r="D274" s="11">
        <v>43460</v>
      </c>
      <c r="E274" s="1" t="s">
        <v>86</v>
      </c>
      <c r="F274" s="1" t="s">
        <v>87</v>
      </c>
      <c r="G274" s="19" t="s">
        <v>756</v>
      </c>
      <c r="H274" s="13">
        <v>75.88</v>
      </c>
      <c r="I274" s="14" t="s">
        <v>671</v>
      </c>
      <c r="J274" s="14">
        <v>38</v>
      </c>
    </row>
    <row r="275" spans="1:10">
      <c r="A275" s="19" t="s">
        <v>757</v>
      </c>
      <c r="B275" s="19" t="s">
        <v>758</v>
      </c>
      <c r="C275" s="11">
        <v>43435</v>
      </c>
      <c r="D275" s="11">
        <v>43437</v>
      </c>
      <c r="E275" s="1" t="s">
        <v>91</v>
      </c>
      <c r="F275" s="1" t="s">
        <v>97</v>
      </c>
      <c r="G275" s="19" t="s">
        <v>759</v>
      </c>
      <c r="H275" s="13">
        <v>7.7119999999999997</v>
      </c>
      <c r="I275" s="14" t="s">
        <v>671</v>
      </c>
      <c r="J275" s="14">
        <v>39</v>
      </c>
    </row>
    <row r="276" spans="1:10">
      <c r="A276" s="19" t="s">
        <v>760</v>
      </c>
      <c r="B276" s="19" t="s">
        <v>761</v>
      </c>
      <c r="C276" s="11">
        <v>43457</v>
      </c>
      <c r="D276" s="11">
        <v>43461</v>
      </c>
      <c r="E276" s="1" t="s">
        <v>91</v>
      </c>
      <c r="F276" s="1" t="s">
        <v>298</v>
      </c>
      <c r="G276" s="19" t="s">
        <v>762</v>
      </c>
      <c r="H276" s="13">
        <v>72.703999999999994</v>
      </c>
      <c r="I276" s="14" t="s">
        <v>671</v>
      </c>
      <c r="J276" s="14">
        <v>40</v>
      </c>
    </row>
    <row r="277" spans="1:10">
      <c r="A277" s="19" t="s">
        <v>763</v>
      </c>
      <c r="B277" s="19" t="s">
        <v>761</v>
      </c>
      <c r="C277" s="11">
        <v>43457</v>
      </c>
      <c r="D277" s="11">
        <v>43461</v>
      </c>
      <c r="E277" s="1" t="s">
        <v>86</v>
      </c>
      <c r="F277" s="1" t="s">
        <v>298</v>
      </c>
      <c r="G277" s="19" t="s">
        <v>764</v>
      </c>
      <c r="H277" s="13">
        <v>12.263999999999999</v>
      </c>
      <c r="I277" s="14" t="s">
        <v>671</v>
      </c>
      <c r="J277" s="14">
        <v>41</v>
      </c>
    </row>
    <row r="278" spans="1:10">
      <c r="A278" s="19" t="s">
        <v>765</v>
      </c>
      <c r="B278" s="19" t="s">
        <v>761</v>
      </c>
      <c r="C278" s="11">
        <v>43457</v>
      </c>
      <c r="D278" s="11">
        <v>43461</v>
      </c>
      <c r="E278" s="1" t="s">
        <v>86</v>
      </c>
      <c r="F278" s="1" t="s">
        <v>298</v>
      </c>
      <c r="G278" s="19" t="s">
        <v>228</v>
      </c>
      <c r="H278" s="13">
        <v>218.352</v>
      </c>
      <c r="I278" s="14" t="s">
        <v>671</v>
      </c>
      <c r="J278" s="14">
        <v>42</v>
      </c>
    </row>
    <row r="279" spans="1:10">
      <c r="A279" s="19" t="s">
        <v>766</v>
      </c>
      <c r="B279" s="19" t="s">
        <v>767</v>
      </c>
      <c r="C279" s="11">
        <v>43436</v>
      </c>
      <c r="D279" s="11">
        <v>43440</v>
      </c>
      <c r="E279" s="1" t="s">
        <v>107</v>
      </c>
      <c r="F279" s="1" t="s">
        <v>108</v>
      </c>
      <c r="G279" s="19" t="s">
        <v>768</v>
      </c>
      <c r="H279" s="13">
        <v>39.991999999999997</v>
      </c>
      <c r="I279" s="14" t="s">
        <v>671</v>
      </c>
      <c r="J279" s="14">
        <v>43</v>
      </c>
    </row>
    <row r="280" spans="1:10">
      <c r="A280" s="19" t="s">
        <v>769</v>
      </c>
      <c r="B280" s="19" t="s">
        <v>767</v>
      </c>
      <c r="C280" s="11">
        <v>43436</v>
      </c>
      <c r="D280" s="11">
        <v>43440</v>
      </c>
      <c r="E280" s="1" t="s">
        <v>91</v>
      </c>
      <c r="F280" s="1" t="s">
        <v>108</v>
      </c>
      <c r="G280" s="19" t="s">
        <v>770</v>
      </c>
      <c r="H280" s="13">
        <v>1159.056</v>
      </c>
      <c r="I280" s="14" t="s">
        <v>671</v>
      </c>
      <c r="J280" s="14">
        <v>44</v>
      </c>
    </row>
    <row r="281" spans="1:10">
      <c r="A281" s="19" t="s">
        <v>771</v>
      </c>
      <c r="B281" s="19" t="s">
        <v>767</v>
      </c>
      <c r="C281" s="11">
        <v>43436</v>
      </c>
      <c r="D281" s="11">
        <v>43440</v>
      </c>
      <c r="E281" s="1" t="s">
        <v>86</v>
      </c>
      <c r="F281" s="1" t="s">
        <v>108</v>
      </c>
      <c r="G281" s="19" t="s">
        <v>772</v>
      </c>
      <c r="H281" s="13">
        <v>179.9</v>
      </c>
      <c r="I281" s="14" t="s">
        <v>671</v>
      </c>
      <c r="J281" s="14">
        <v>45</v>
      </c>
    </row>
    <row r="282" spans="1:10">
      <c r="A282" s="19" t="s">
        <v>773</v>
      </c>
      <c r="B282" s="19" t="s">
        <v>774</v>
      </c>
      <c r="C282" s="11">
        <v>43445</v>
      </c>
      <c r="D282" s="11">
        <v>43446</v>
      </c>
      <c r="E282" s="1" t="s">
        <v>107</v>
      </c>
      <c r="F282" s="1" t="s">
        <v>87</v>
      </c>
      <c r="G282" s="19" t="s">
        <v>775</v>
      </c>
      <c r="H282" s="13">
        <v>116.312</v>
      </c>
      <c r="I282" s="14" t="s">
        <v>671</v>
      </c>
      <c r="J282" s="14">
        <v>46</v>
      </c>
    </row>
    <row r="283" spans="1:10">
      <c r="A283" s="19" t="s">
        <v>776</v>
      </c>
      <c r="B283" s="19" t="s">
        <v>777</v>
      </c>
      <c r="C283" s="11">
        <v>43436</v>
      </c>
      <c r="D283" s="11">
        <v>43439</v>
      </c>
      <c r="E283" s="1" t="s">
        <v>91</v>
      </c>
      <c r="F283" s="1" t="s">
        <v>298</v>
      </c>
      <c r="G283" s="19" t="s">
        <v>778</v>
      </c>
      <c r="H283" s="13">
        <v>701.96</v>
      </c>
      <c r="I283" s="14" t="s">
        <v>671</v>
      </c>
      <c r="J283" s="14">
        <v>47</v>
      </c>
    </row>
    <row r="284" spans="1:10">
      <c r="A284" s="19" t="s">
        <v>779</v>
      </c>
      <c r="B284" s="19" t="s">
        <v>780</v>
      </c>
      <c r="C284" s="11">
        <v>43448</v>
      </c>
      <c r="D284" s="11">
        <v>43453</v>
      </c>
      <c r="E284" s="1" t="s">
        <v>91</v>
      </c>
      <c r="F284" s="1" t="s">
        <v>87</v>
      </c>
      <c r="G284" s="19" t="s">
        <v>781</v>
      </c>
      <c r="H284" s="13">
        <v>974.98800000000006</v>
      </c>
      <c r="I284" s="14" t="s">
        <v>671</v>
      </c>
      <c r="J284" s="14">
        <v>48</v>
      </c>
    </row>
    <row r="285" spans="1:10">
      <c r="A285" s="19" t="s">
        <v>782</v>
      </c>
      <c r="B285" s="19" t="s">
        <v>783</v>
      </c>
      <c r="C285" s="11">
        <v>43454</v>
      </c>
      <c r="D285" s="11">
        <v>43460</v>
      </c>
      <c r="E285" s="1" t="s">
        <v>86</v>
      </c>
      <c r="F285" s="1" t="s">
        <v>97</v>
      </c>
      <c r="G285" s="19" t="s">
        <v>784</v>
      </c>
      <c r="H285" s="13">
        <v>279.89999999999998</v>
      </c>
      <c r="I285" s="14" t="s">
        <v>671</v>
      </c>
      <c r="J285" s="14">
        <v>49</v>
      </c>
    </row>
    <row r="286" spans="1:10">
      <c r="A286" s="19" t="s">
        <v>785</v>
      </c>
      <c r="B286" s="19" t="s">
        <v>783</v>
      </c>
      <c r="C286" s="11">
        <v>43454</v>
      </c>
      <c r="D286" s="11">
        <v>43460</v>
      </c>
      <c r="E286" s="1" t="s">
        <v>86</v>
      </c>
      <c r="F286" s="1" t="s">
        <v>97</v>
      </c>
      <c r="G286" s="19" t="s">
        <v>384</v>
      </c>
      <c r="H286" s="13">
        <v>50.351999999999997</v>
      </c>
      <c r="I286" s="14" t="s">
        <v>671</v>
      </c>
      <c r="J286" s="14">
        <v>50</v>
      </c>
    </row>
    <row r="287" spans="1:10">
      <c r="A287" s="19" t="s">
        <v>786</v>
      </c>
      <c r="B287" s="19" t="s">
        <v>783</v>
      </c>
      <c r="C287" s="11">
        <v>43454</v>
      </c>
      <c r="D287" s="11">
        <v>43460</v>
      </c>
      <c r="E287" s="1" t="s">
        <v>86</v>
      </c>
      <c r="F287" s="1" t="s">
        <v>97</v>
      </c>
      <c r="G287" s="19" t="s">
        <v>787</v>
      </c>
      <c r="H287" s="13">
        <v>34.020000000000003</v>
      </c>
      <c r="I287" s="14" t="s">
        <v>671</v>
      </c>
      <c r="J287" s="14">
        <v>51</v>
      </c>
    </row>
    <row r="288" spans="1:10">
      <c r="A288" s="19" t="s">
        <v>788</v>
      </c>
      <c r="B288" s="19" t="s">
        <v>789</v>
      </c>
      <c r="C288" s="11">
        <v>43438</v>
      </c>
      <c r="D288" s="11">
        <v>43442</v>
      </c>
      <c r="E288" s="1" t="s">
        <v>86</v>
      </c>
      <c r="F288" s="1" t="s">
        <v>87</v>
      </c>
      <c r="G288" s="19" t="s">
        <v>790</v>
      </c>
      <c r="H288" s="13">
        <v>8.8000000000000007</v>
      </c>
      <c r="I288" s="14" t="s">
        <v>671</v>
      </c>
      <c r="J288" s="14">
        <v>52</v>
      </c>
    </row>
    <row r="289" spans="1:10">
      <c r="A289" s="19" t="s">
        <v>791</v>
      </c>
      <c r="B289" s="19" t="s">
        <v>789</v>
      </c>
      <c r="C289" s="11">
        <v>43438</v>
      </c>
      <c r="D289" s="11">
        <v>43442</v>
      </c>
      <c r="E289" s="1" t="s">
        <v>107</v>
      </c>
      <c r="F289" s="1" t="s">
        <v>87</v>
      </c>
      <c r="G289" s="19" t="s">
        <v>792</v>
      </c>
      <c r="H289" s="13">
        <v>142.80000000000001</v>
      </c>
      <c r="I289" s="14" t="s">
        <v>671</v>
      </c>
      <c r="J289" s="14">
        <v>53</v>
      </c>
    </row>
    <row r="290" spans="1:10">
      <c r="A290" s="19" t="s">
        <v>793</v>
      </c>
      <c r="B290" s="19" t="s">
        <v>789</v>
      </c>
      <c r="C290" s="11">
        <v>43438</v>
      </c>
      <c r="D290" s="11">
        <v>43442</v>
      </c>
      <c r="E290" s="1" t="s">
        <v>107</v>
      </c>
      <c r="F290" s="1" t="s">
        <v>87</v>
      </c>
      <c r="G290" s="19" t="s">
        <v>794</v>
      </c>
      <c r="H290" s="13">
        <v>399.95</v>
      </c>
      <c r="I290" s="14" t="s">
        <v>671</v>
      </c>
      <c r="J290" s="14">
        <v>54</v>
      </c>
    </row>
    <row r="291" spans="1:10">
      <c r="A291" s="19" t="s">
        <v>795</v>
      </c>
      <c r="B291" s="19" t="s">
        <v>796</v>
      </c>
      <c r="C291" s="11">
        <v>43450</v>
      </c>
      <c r="D291" s="11">
        <v>43455</v>
      </c>
      <c r="E291" s="1" t="s">
        <v>86</v>
      </c>
      <c r="F291" s="1" t="s">
        <v>108</v>
      </c>
      <c r="G291" s="19" t="s">
        <v>797</v>
      </c>
      <c r="H291" s="13">
        <v>13.36</v>
      </c>
      <c r="I291" s="14" t="s">
        <v>671</v>
      </c>
      <c r="J291" s="14">
        <v>55</v>
      </c>
    </row>
    <row r="292" spans="1:10">
      <c r="A292" s="19" t="s">
        <v>798</v>
      </c>
      <c r="B292" s="19" t="s">
        <v>796</v>
      </c>
      <c r="C292" s="11">
        <v>43450</v>
      </c>
      <c r="D292" s="11">
        <v>43455</v>
      </c>
      <c r="E292" s="1" t="s">
        <v>86</v>
      </c>
      <c r="F292" s="1" t="s">
        <v>108</v>
      </c>
      <c r="G292" s="19" t="s">
        <v>799</v>
      </c>
      <c r="H292" s="13">
        <v>158.9</v>
      </c>
      <c r="I292" s="14" t="s">
        <v>671</v>
      </c>
      <c r="J292" s="14">
        <v>56</v>
      </c>
    </row>
    <row r="293" spans="1:10">
      <c r="A293" s="19" t="s">
        <v>800</v>
      </c>
      <c r="B293" s="19" t="s">
        <v>801</v>
      </c>
      <c r="C293" s="11">
        <v>43436</v>
      </c>
      <c r="D293" s="11">
        <v>43443</v>
      </c>
      <c r="E293" s="1" t="s">
        <v>86</v>
      </c>
      <c r="F293" s="1" t="s">
        <v>87</v>
      </c>
      <c r="G293" s="19" t="s">
        <v>802</v>
      </c>
      <c r="H293" s="13">
        <v>12.16</v>
      </c>
      <c r="I293" s="14" t="s">
        <v>671</v>
      </c>
      <c r="J293" s="14">
        <v>57</v>
      </c>
    </row>
    <row r="294" spans="1:10">
      <c r="A294" s="19" t="s">
        <v>803</v>
      </c>
      <c r="B294" s="19" t="s">
        <v>804</v>
      </c>
      <c r="C294" s="11">
        <v>43448</v>
      </c>
      <c r="D294" s="11">
        <v>43448</v>
      </c>
      <c r="E294" s="1" t="s">
        <v>91</v>
      </c>
      <c r="F294" s="1" t="s">
        <v>87</v>
      </c>
      <c r="G294" s="19" t="s">
        <v>805</v>
      </c>
      <c r="H294" s="13">
        <v>266.35199999999998</v>
      </c>
      <c r="I294" s="14" t="s">
        <v>671</v>
      </c>
      <c r="J294" s="14">
        <v>58</v>
      </c>
    </row>
    <row r="295" spans="1:10">
      <c r="A295" s="19" t="s">
        <v>806</v>
      </c>
      <c r="B295" s="19" t="s">
        <v>804</v>
      </c>
      <c r="C295" s="11">
        <v>43448</v>
      </c>
      <c r="D295" s="11">
        <v>43448</v>
      </c>
      <c r="E295" s="1" t="s">
        <v>91</v>
      </c>
      <c r="F295" s="1" t="s">
        <v>87</v>
      </c>
      <c r="G295" s="19" t="s">
        <v>807</v>
      </c>
      <c r="H295" s="13">
        <v>56.328000000000003</v>
      </c>
      <c r="I295" s="14" t="s">
        <v>671</v>
      </c>
      <c r="J295" s="14">
        <v>59</v>
      </c>
    </row>
    <row r="296" spans="1:10">
      <c r="A296" s="19" t="s">
        <v>808</v>
      </c>
      <c r="B296" s="19" t="s">
        <v>804</v>
      </c>
      <c r="C296" s="11">
        <v>43448</v>
      </c>
      <c r="D296" s="11">
        <v>43448</v>
      </c>
      <c r="E296" s="1" t="s">
        <v>107</v>
      </c>
      <c r="F296" s="1" t="s">
        <v>87</v>
      </c>
      <c r="G296" s="19" t="s">
        <v>492</v>
      </c>
      <c r="H296" s="13">
        <v>39.264000000000003</v>
      </c>
      <c r="I296" s="14" t="s">
        <v>671</v>
      </c>
      <c r="J296" s="14">
        <v>60</v>
      </c>
    </row>
    <row r="297" spans="1:10">
      <c r="A297" s="19" t="s">
        <v>809</v>
      </c>
      <c r="B297" s="19" t="s">
        <v>804</v>
      </c>
      <c r="C297" s="11">
        <v>43448</v>
      </c>
      <c r="D297" s="11">
        <v>43448</v>
      </c>
      <c r="E297" s="1" t="s">
        <v>86</v>
      </c>
      <c r="F297" s="1" t="s">
        <v>87</v>
      </c>
      <c r="G297" s="19" t="s">
        <v>810</v>
      </c>
      <c r="H297" s="13">
        <v>95.231999999999999</v>
      </c>
      <c r="I297" s="14" t="s">
        <v>671</v>
      </c>
      <c r="J297" s="14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showGridLines="0" workbookViewId="0">
      <pane ySplit="6" topLeftCell="A7" activePane="bottomLeft" state="frozen"/>
      <selection pane="bottomLeft" activeCell="K7" sqref="K7"/>
    </sheetView>
  </sheetViews>
  <sheetFormatPr defaultRowHeight="14.25"/>
  <cols>
    <col min="1" max="1" width="13.625" bestFit="1" customWidth="1"/>
    <col min="2" max="2" width="10.625" bestFit="1" customWidth="1"/>
    <col min="3" max="3" width="47.5" bestFit="1" customWidth="1"/>
    <col min="4" max="4" width="18.625" bestFit="1" customWidth="1"/>
    <col min="5" max="5" width="15.125" bestFit="1" customWidth="1"/>
    <col min="6" max="6" width="18.125" bestFit="1" customWidth="1"/>
    <col min="7" max="7" width="13.5" bestFit="1" customWidth="1"/>
    <col min="8" max="8" width="42.875" bestFit="1" customWidth="1"/>
    <col min="9" max="9" width="81" bestFit="1" customWidth="1"/>
  </cols>
  <sheetData>
    <row r="1" spans="1:11">
      <c r="A1" s="1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.25">
      <c r="A2" s="2" t="s">
        <v>811</v>
      </c>
      <c r="B2" s="5"/>
      <c r="C2" s="4"/>
      <c r="D2" s="4"/>
      <c r="E2" s="4"/>
      <c r="F2" s="4"/>
      <c r="G2" s="4"/>
      <c r="H2" s="4"/>
      <c r="I2" s="4"/>
      <c r="J2" s="4"/>
      <c r="K2" s="4"/>
    </row>
    <row r="3" spans="1:11">
      <c r="A3" s="3"/>
      <c r="B3" s="6"/>
      <c r="C3" s="6"/>
      <c r="D3" s="6"/>
      <c r="E3" s="6"/>
      <c r="F3" s="6"/>
      <c r="G3" s="6"/>
      <c r="H3" s="6"/>
      <c r="I3" s="6"/>
      <c r="J3" s="4"/>
      <c r="K3" s="4"/>
    </row>
    <row r="4" spans="1:11" ht="12" customHeight="1">
      <c r="A4" s="1" t="s">
        <v>812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">
      <c r="A6" s="23" t="s">
        <v>813</v>
      </c>
      <c r="B6" s="23" t="s">
        <v>39</v>
      </c>
      <c r="C6" s="23" t="s">
        <v>814</v>
      </c>
      <c r="D6" s="23" t="s">
        <v>82</v>
      </c>
      <c r="E6" s="23" t="s">
        <v>83</v>
      </c>
      <c r="F6" s="23" t="s">
        <v>815</v>
      </c>
      <c r="G6" s="23" t="s">
        <v>816</v>
      </c>
      <c r="H6" s="23" t="s">
        <v>817</v>
      </c>
      <c r="I6" s="23" t="s">
        <v>818</v>
      </c>
      <c r="J6" s="4"/>
      <c r="K6" s="4"/>
    </row>
    <row r="7" spans="1:11" ht="42.75">
      <c r="A7" s="24" t="s">
        <v>811</v>
      </c>
      <c r="B7" s="24" t="s">
        <v>819</v>
      </c>
      <c r="C7" s="24" t="s">
        <v>820</v>
      </c>
      <c r="D7" s="25" t="s">
        <v>89</v>
      </c>
      <c r="E7" s="25">
        <v>12</v>
      </c>
      <c r="F7" s="25" t="s">
        <v>821</v>
      </c>
      <c r="G7" s="25" t="s">
        <v>822</v>
      </c>
      <c r="H7" s="24" t="s">
        <v>823</v>
      </c>
      <c r="I7" s="25" t="s">
        <v>824</v>
      </c>
      <c r="J7" s="4"/>
      <c r="K7" s="4"/>
    </row>
    <row r="8" spans="1:11" ht="42.75">
      <c r="A8" s="24" t="s">
        <v>811</v>
      </c>
      <c r="B8" s="24" t="s">
        <v>903</v>
      </c>
      <c r="C8" s="24" t="s">
        <v>825</v>
      </c>
      <c r="D8" s="25" t="s">
        <v>89</v>
      </c>
      <c r="E8" s="25">
        <v>22</v>
      </c>
      <c r="F8" s="25" t="s">
        <v>826</v>
      </c>
      <c r="G8" s="25" t="s">
        <v>827</v>
      </c>
      <c r="H8" s="24" t="s">
        <v>823</v>
      </c>
      <c r="I8" s="25" t="s">
        <v>828</v>
      </c>
      <c r="J8" s="4"/>
      <c r="K8" s="4"/>
    </row>
    <row r="9" spans="1:11" ht="28.5">
      <c r="A9" s="24" t="s">
        <v>811</v>
      </c>
      <c r="B9" s="24" t="s">
        <v>829</v>
      </c>
      <c r="C9" s="24" t="s">
        <v>830</v>
      </c>
      <c r="D9" s="25" t="s">
        <v>89</v>
      </c>
      <c r="E9" s="25">
        <v>23</v>
      </c>
      <c r="F9" s="25" t="s">
        <v>831</v>
      </c>
      <c r="G9" s="25" t="s">
        <v>832</v>
      </c>
      <c r="H9" s="24" t="s">
        <v>823</v>
      </c>
      <c r="I9" s="25" t="s">
        <v>904</v>
      </c>
      <c r="J9" s="4"/>
      <c r="K9" s="4"/>
    </row>
    <row r="10" spans="1:11" ht="42.75">
      <c r="A10" s="24" t="s">
        <v>811</v>
      </c>
      <c r="B10" s="24" t="s">
        <v>833</v>
      </c>
      <c r="C10" s="24" t="s">
        <v>834</v>
      </c>
      <c r="D10" s="25" t="s">
        <v>89</v>
      </c>
      <c r="E10" s="25">
        <v>24</v>
      </c>
      <c r="F10" s="25" t="s">
        <v>835</v>
      </c>
      <c r="G10" s="25" t="s">
        <v>836</v>
      </c>
      <c r="H10" s="24" t="s">
        <v>823</v>
      </c>
      <c r="I10" s="25" t="s">
        <v>837</v>
      </c>
      <c r="J10" s="4"/>
      <c r="K10" s="4"/>
    </row>
    <row r="11" spans="1:11" ht="28.5">
      <c r="A11" s="24" t="s">
        <v>811</v>
      </c>
      <c r="B11" s="24" t="s">
        <v>838</v>
      </c>
      <c r="C11" s="24" t="s">
        <v>839</v>
      </c>
      <c r="D11" s="25" t="s">
        <v>89</v>
      </c>
      <c r="E11" s="25">
        <v>25</v>
      </c>
      <c r="F11" s="25" t="s">
        <v>831</v>
      </c>
      <c r="G11" s="25" t="s">
        <v>840</v>
      </c>
      <c r="H11" s="24" t="s">
        <v>823</v>
      </c>
      <c r="I11" s="25" t="s">
        <v>841</v>
      </c>
      <c r="J11" s="4"/>
      <c r="K11" s="4"/>
    </row>
    <row r="12" spans="1:11" ht="28.5">
      <c r="A12" s="24" t="s">
        <v>811</v>
      </c>
      <c r="B12" s="24" t="s">
        <v>842</v>
      </c>
      <c r="C12" s="24" t="s">
        <v>843</v>
      </c>
      <c r="D12" s="25" t="s">
        <v>89</v>
      </c>
      <c r="E12" s="25">
        <v>26</v>
      </c>
      <c r="F12" s="25" t="s">
        <v>831</v>
      </c>
      <c r="G12" s="25" t="s">
        <v>844</v>
      </c>
      <c r="H12" s="24" t="s">
        <v>823</v>
      </c>
      <c r="I12" s="25" t="s">
        <v>845</v>
      </c>
      <c r="J12" s="4"/>
      <c r="K12" s="4"/>
    </row>
    <row r="13" spans="1:11" ht="42.75">
      <c r="A13" s="24" t="s">
        <v>811</v>
      </c>
      <c r="B13" s="24" t="s">
        <v>846</v>
      </c>
      <c r="C13" s="24" t="s">
        <v>847</v>
      </c>
      <c r="D13" s="25" t="s">
        <v>89</v>
      </c>
      <c r="E13" s="25">
        <v>27</v>
      </c>
      <c r="F13" s="25" t="s">
        <v>831</v>
      </c>
      <c r="G13" s="25" t="s">
        <v>848</v>
      </c>
      <c r="H13" s="24" t="s">
        <v>823</v>
      </c>
      <c r="I13" s="25" t="s">
        <v>849</v>
      </c>
      <c r="J13" s="4"/>
      <c r="K13" s="4"/>
    </row>
    <row r="14" spans="1:11" ht="42.75">
      <c r="A14" s="24" t="s">
        <v>811</v>
      </c>
      <c r="B14" s="24" t="s">
        <v>850</v>
      </c>
      <c r="C14" s="24" t="s">
        <v>851</v>
      </c>
      <c r="D14" s="25" t="s">
        <v>89</v>
      </c>
      <c r="E14" s="25">
        <v>28</v>
      </c>
      <c r="F14" s="25" t="s">
        <v>831</v>
      </c>
      <c r="G14" s="25" t="s">
        <v>852</v>
      </c>
      <c r="H14" s="24" t="s">
        <v>823</v>
      </c>
      <c r="I14" s="25" t="s">
        <v>853</v>
      </c>
      <c r="J14" s="4"/>
      <c r="K14" s="4"/>
    </row>
    <row r="15" spans="1:11" ht="28.5">
      <c r="A15" s="24" t="s">
        <v>811</v>
      </c>
      <c r="B15" s="24" t="s">
        <v>854</v>
      </c>
      <c r="C15" s="24" t="s">
        <v>855</v>
      </c>
      <c r="D15" s="25" t="s">
        <v>89</v>
      </c>
      <c r="E15" s="25">
        <v>29</v>
      </c>
      <c r="F15" s="25" t="s">
        <v>831</v>
      </c>
      <c r="G15" s="25" t="s">
        <v>856</v>
      </c>
      <c r="H15" s="24" t="s">
        <v>823</v>
      </c>
      <c r="I15" s="25" t="s">
        <v>857</v>
      </c>
      <c r="J15" s="4"/>
      <c r="K15" s="4"/>
    </row>
    <row r="16" spans="1:11" ht="42.75">
      <c r="A16" s="24" t="s">
        <v>858</v>
      </c>
      <c r="B16" s="24" t="s">
        <v>84</v>
      </c>
      <c r="C16" s="24" t="s">
        <v>859</v>
      </c>
      <c r="D16" s="25" t="s">
        <v>671</v>
      </c>
      <c r="E16" s="25">
        <v>62</v>
      </c>
      <c r="F16" s="25" t="s">
        <v>860</v>
      </c>
      <c r="G16" s="25" t="s">
        <v>861</v>
      </c>
      <c r="H16" s="24" t="s">
        <v>862</v>
      </c>
      <c r="I16" s="25" t="s">
        <v>863</v>
      </c>
      <c r="J16" s="4"/>
      <c r="K16" s="4"/>
    </row>
    <row r="17" spans="1:11" ht="28.5">
      <c r="A17" s="24" t="s">
        <v>858</v>
      </c>
      <c r="B17" s="24" t="s">
        <v>90</v>
      </c>
      <c r="C17" s="24" t="s">
        <v>859</v>
      </c>
      <c r="D17" s="25" t="s">
        <v>671</v>
      </c>
      <c r="E17" s="25">
        <v>63</v>
      </c>
      <c r="F17" s="25" t="s">
        <v>860</v>
      </c>
      <c r="G17" s="25" t="s">
        <v>864</v>
      </c>
      <c r="H17" s="24" t="s">
        <v>862</v>
      </c>
      <c r="I17" s="25" t="s">
        <v>865</v>
      </c>
      <c r="J17" s="4"/>
      <c r="K17" s="4"/>
    </row>
    <row r="18" spans="1:11" ht="42.75">
      <c r="A18" s="24" t="s">
        <v>858</v>
      </c>
      <c r="B18" s="24" t="s">
        <v>93</v>
      </c>
      <c r="C18" s="24" t="s">
        <v>859</v>
      </c>
      <c r="D18" s="25" t="s">
        <v>671</v>
      </c>
      <c r="E18" s="25">
        <v>64</v>
      </c>
      <c r="F18" s="25" t="s">
        <v>860</v>
      </c>
      <c r="G18" s="25" t="s">
        <v>866</v>
      </c>
      <c r="H18" s="24" t="s">
        <v>862</v>
      </c>
      <c r="I18" s="25" t="s">
        <v>867</v>
      </c>
      <c r="J18" s="4"/>
      <c r="K18" s="4"/>
    </row>
    <row r="19" spans="1:11" ht="28.5">
      <c r="A19" s="24" t="s">
        <v>858</v>
      </c>
      <c r="B19" s="24" t="s">
        <v>95</v>
      </c>
      <c r="C19" s="24" t="s">
        <v>859</v>
      </c>
      <c r="D19" s="25" t="s">
        <v>671</v>
      </c>
      <c r="E19" s="25">
        <v>65</v>
      </c>
      <c r="F19" s="25" t="s">
        <v>868</v>
      </c>
      <c r="G19" s="25" t="s">
        <v>869</v>
      </c>
      <c r="H19" s="24" t="s">
        <v>862</v>
      </c>
      <c r="I19" s="25" t="s">
        <v>870</v>
      </c>
      <c r="J19" s="4"/>
      <c r="K19" s="4"/>
    </row>
    <row r="20" spans="1:11" ht="42.75">
      <c r="A20" s="24" t="s">
        <v>858</v>
      </c>
      <c r="B20" s="24" t="s">
        <v>99</v>
      </c>
      <c r="C20" s="24" t="s">
        <v>859</v>
      </c>
      <c r="D20" s="25" t="s">
        <v>671</v>
      </c>
      <c r="E20" s="25">
        <v>66</v>
      </c>
      <c r="F20" s="25" t="s">
        <v>871</v>
      </c>
      <c r="G20" s="25" t="s">
        <v>872</v>
      </c>
      <c r="H20" s="24" t="s">
        <v>862</v>
      </c>
      <c r="I20" s="25" t="s">
        <v>873</v>
      </c>
      <c r="J20" s="4"/>
      <c r="K20" s="4"/>
    </row>
    <row r="21" spans="1:11" ht="42.75">
      <c r="A21" s="24" t="s">
        <v>858</v>
      </c>
      <c r="B21" s="24" t="s">
        <v>102</v>
      </c>
      <c r="C21" s="24" t="s">
        <v>859</v>
      </c>
      <c r="D21" s="25" t="s">
        <v>671</v>
      </c>
      <c r="E21" s="25">
        <v>67</v>
      </c>
      <c r="F21" s="25" t="s">
        <v>874</v>
      </c>
      <c r="G21" s="25" t="s">
        <v>875</v>
      </c>
      <c r="H21" s="24" t="s">
        <v>862</v>
      </c>
      <c r="I21" s="25" t="s">
        <v>876</v>
      </c>
      <c r="J21" s="4"/>
      <c r="K21" s="4"/>
    </row>
    <row r="22" spans="1:11" ht="42.75">
      <c r="A22" s="24" t="s">
        <v>858</v>
      </c>
      <c r="B22" s="24" t="s">
        <v>105</v>
      </c>
      <c r="C22" s="24" t="s">
        <v>859</v>
      </c>
      <c r="D22" s="25" t="s">
        <v>671</v>
      </c>
      <c r="E22" s="25">
        <v>68</v>
      </c>
      <c r="F22" s="25" t="s">
        <v>860</v>
      </c>
      <c r="G22" s="25" t="s">
        <v>877</v>
      </c>
      <c r="H22" s="24" t="s">
        <v>862</v>
      </c>
      <c r="I22" s="25" t="s">
        <v>878</v>
      </c>
      <c r="J22" s="4"/>
      <c r="K22" s="4"/>
    </row>
    <row r="23" spans="1:11" ht="42.75">
      <c r="A23" s="24" t="s">
        <v>858</v>
      </c>
      <c r="B23" s="24" t="s">
        <v>110</v>
      </c>
      <c r="C23" s="24" t="s">
        <v>859</v>
      </c>
      <c r="D23" s="25" t="s">
        <v>671</v>
      </c>
      <c r="E23" s="25">
        <v>69</v>
      </c>
      <c r="F23" s="25" t="s">
        <v>821</v>
      </c>
      <c r="G23" s="25" t="s">
        <v>879</v>
      </c>
      <c r="H23" s="24" t="s">
        <v>862</v>
      </c>
      <c r="I23" s="25" t="s">
        <v>880</v>
      </c>
      <c r="J23" s="4"/>
      <c r="K23" s="4"/>
    </row>
    <row r="24" spans="1:11" ht="42.75">
      <c r="A24" s="24" t="s">
        <v>811</v>
      </c>
      <c r="B24" s="24" t="s">
        <v>819</v>
      </c>
      <c r="C24" s="24" t="s">
        <v>820</v>
      </c>
      <c r="D24" s="25" t="s">
        <v>671</v>
      </c>
      <c r="E24" s="25">
        <v>70</v>
      </c>
      <c r="F24" s="25" t="s">
        <v>821</v>
      </c>
      <c r="G24" s="25" t="s">
        <v>881</v>
      </c>
      <c r="H24" s="24" t="s">
        <v>823</v>
      </c>
      <c r="I24" s="25" t="s">
        <v>882</v>
      </c>
      <c r="J24" s="4"/>
      <c r="K24" s="4"/>
    </row>
    <row r="25" spans="1:1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conditionalFormatting sqref="A7:A1006">
    <cfRule type="containsText" dxfId="10" priority="1" operator="containsText" text="Needs review"/>
    <cfRule type="containsText" dxfId="9" priority="2" operator="containsText" text="File issue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showGridLines="0" workbookViewId="0">
      <pane ySplit="6" topLeftCell="A7" activePane="bottomLeft" state="frozen"/>
      <selection pane="bottomLeft" activeCell="A6" sqref="A6:H11"/>
    </sheetView>
  </sheetViews>
  <sheetFormatPr defaultRowHeight="14.25"/>
  <cols>
    <col min="1" max="1" width="18.625" bestFit="1" customWidth="1"/>
    <col min="2" max="2" width="14.25" bestFit="1" customWidth="1"/>
    <col min="3" max="3" width="14.875" bestFit="1" customWidth="1"/>
    <col min="4" max="4" width="16.375" bestFit="1" customWidth="1"/>
    <col min="5" max="5" width="18.5" bestFit="1" customWidth="1"/>
    <col min="6" max="6" width="13.875" bestFit="1" customWidth="1"/>
    <col min="7" max="7" width="15.75" bestFit="1" customWidth="1"/>
    <col min="8" max="8" width="79.625" bestFit="1" customWidth="1"/>
  </cols>
  <sheetData>
    <row r="1" spans="1:11">
      <c r="A1" s="1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.25">
      <c r="A2" s="2" t="s">
        <v>883</v>
      </c>
      <c r="B2" s="5"/>
      <c r="C2" s="4"/>
      <c r="D2" s="4"/>
      <c r="E2" s="4"/>
      <c r="F2" s="4"/>
      <c r="G2" s="4"/>
      <c r="H2" s="4"/>
      <c r="I2" s="4"/>
      <c r="J2" s="4"/>
      <c r="K2" s="4"/>
    </row>
    <row r="3" spans="1:11">
      <c r="A3" s="3"/>
      <c r="B3" s="6"/>
      <c r="C3" s="6"/>
      <c r="D3" s="6"/>
      <c r="E3" s="6"/>
      <c r="F3" s="6"/>
      <c r="G3" s="6"/>
      <c r="H3" s="6"/>
      <c r="I3" s="4"/>
      <c r="J3" s="4"/>
      <c r="K3" s="4"/>
    </row>
    <row r="4" spans="1:11" ht="12" customHeight="1">
      <c r="A4" s="1" t="s">
        <v>884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">
      <c r="A6" s="21" t="s">
        <v>82</v>
      </c>
      <c r="B6" s="21" t="s">
        <v>885</v>
      </c>
      <c r="C6" s="21" t="s">
        <v>886</v>
      </c>
      <c r="D6" s="21" t="s">
        <v>887</v>
      </c>
      <c r="E6" s="21" t="s">
        <v>888</v>
      </c>
      <c r="F6" s="21" t="s">
        <v>889</v>
      </c>
      <c r="G6" s="21" t="s">
        <v>890</v>
      </c>
      <c r="H6" s="21" t="s">
        <v>891</v>
      </c>
      <c r="I6" s="4"/>
      <c r="J6" s="4"/>
      <c r="K6" s="4"/>
    </row>
    <row r="7" spans="1:11">
      <c r="A7" s="1" t="s">
        <v>89</v>
      </c>
      <c r="B7" s="4">
        <v>60</v>
      </c>
      <c r="C7" s="4">
        <v>51</v>
      </c>
      <c r="D7" s="4">
        <v>9</v>
      </c>
      <c r="E7" s="4">
        <v>0</v>
      </c>
      <c r="F7" s="4">
        <v>0</v>
      </c>
      <c r="G7" s="22">
        <v>46312.707143472224</v>
      </c>
      <c r="H7" s="4" t="s">
        <v>27</v>
      </c>
      <c r="I7" s="4"/>
      <c r="J7" s="4"/>
      <c r="K7" s="4"/>
    </row>
    <row r="8" spans="1:11">
      <c r="A8" s="1" t="s">
        <v>221</v>
      </c>
      <c r="B8" s="4">
        <v>60</v>
      </c>
      <c r="C8" s="4">
        <v>60</v>
      </c>
      <c r="D8" s="4">
        <v>0</v>
      </c>
      <c r="E8" s="4">
        <v>0</v>
      </c>
      <c r="F8" s="4">
        <v>0</v>
      </c>
      <c r="G8" s="22">
        <v>46312.707143472224</v>
      </c>
      <c r="H8" s="4" t="s">
        <v>27</v>
      </c>
      <c r="I8" s="4"/>
      <c r="J8" s="4"/>
      <c r="K8" s="4"/>
    </row>
    <row r="9" spans="1:11">
      <c r="A9" s="1" t="s">
        <v>373</v>
      </c>
      <c r="B9" s="4">
        <v>60</v>
      </c>
      <c r="C9" s="4">
        <v>60</v>
      </c>
      <c r="D9" s="4">
        <v>0</v>
      </c>
      <c r="E9" s="4">
        <v>0</v>
      </c>
      <c r="F9" s="4">
        <v>0</v>
      </c>
      <c r="G9" s="22">
        <v>46312.707143472224</v>
      </c>
      <c r="H9" s="4" t="s">
        <v>27</v>
      </c>
      <c r="I9" s="4"/>
      <c r="J9" s="4"/>
      <c r="K9" s="4"/>
    </row>
    <row r="10" spans="1:11">
      <c r="A10" s="1" t="s">
        <v>518</v>
      </c>
      <c r="B10" s="4">
        <v>60</v>
      </c>
      <c r="C10" s="4">
        <v>60</v>
      </c>
      <c r="D10" s="4">
        <v>0</v>
      </c>
      <c r="E10" s="4">
        <v>0</v>
      </c>
      <c r="F10" s="4">
        <v>0</v>
      </c>
      <c r="G10" s="22">
        <v>46312.707143472224</v>
      </c>
      <c r="H10" s="4" t="s">
        <v>27</v>
      </c>
      <c r="I10" s="4"/>
      <c r="J10" s="4"/>
      <c r="K10" s="4"/>
    </row>
    <row r="11" spans="1:11">
      <c r="A11" s="1" t="s">
        <v>671</v>
      </c>
      <c r="B11" s="4">
        <v>69</v>
      </c>
      <c r="C11" s="4">
        <v>60</v>
      </c>
      <c r="D11" s="4">
        <v>1</v>
      </c>
      <c r="E11" s="4">
        <v>8</v>
      </c>
      <c r="F11" s="4">
        <v>0</v>
      </c>
      <c r="G11" s="22">
        <v>46312.707143472224</v>
      </c>
      <c r="H11" s="4" t="s">
        <v>27</v>
      </c>
      <c r="I11" s="4"/>
      <c r="J11" s="4"/>
      <c r="K11" s="4"/>
    </row>
    <row r="12" spans="1:11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showGridLines="0" workbookViewId="0">
      <selection activeCell="C8" sqref="C8"/>
    </sheetView>
  </sheetViews>
  <sheetFormatPr defaultRowHeight="14.25"/>
  <cols>
    <col min="1" max="1" width="3" customWidth="1"/>
    <col min="2" max="2" width="24" customWidth="1"/>
    <col min="3" max="3" width="100" customWidth="1"/>
  </cols>
  <sheetData>
    <row r="1" spans="1:11">
      <c r="A1" s="1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.25">
      <c r="A2" s="1"/>
      <c r="B2" s="5" t="s">
        <v>892</v>
      </c>
      <c r="C2" s="4"/>
      <c r="D2" s="4"/>
      <c r="E2" s="4"/>
      <c r="F2" s="4"/>
      <c r="G2" s="4"/>
      <c r="H2" s="4"/>
      <c r="I2" s="4"/>
      <c r="J2" s="4"/>
      <c r="K2" s="4"/>
    </row>
    <row r="3" spans="1:11">
      <c r="A3" s="1"/>
      <c r="B3" s="6"/>
      <c r="C3" s="6"/>
      <c r="D3" s="6"/>
      <c r="E3" s="6"/>
      <c r="F3" s="6"/>
      <c r="G3" s="6"/>
      <c r="H3" s="6"/>
      <c r="I3" s="4"/>
      <c r="J3" s="4"/>
      <c r="K3" s="4"/>
    </row>
    <row r="4" spans="1:11" ht="12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/>
      <c r="B5" s="4" t="s">
        <v>893</v>
      </c>
      <c r="C5" s="4"/>
      <c r="D5" s="4"/>
      <c r="E5" s="4"/>
      <c r="F5" s="4"/>
      <c r="G5" s="4"/>
      <c r="H5" s="4"/>
      <c r="I5" s="4"/>
      <c r="J5" s="4"/>
      <c r="K5" s="4"/>
    </row>
    <row r="6" spans="1:11">
      <c r="A6" s="1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7" customHeight="1">
      <c r="A7" s="1"/>
      <c r="B7" s="9" t="s">
        <v>894</v>
      </c>
      <c r="C7" s="8" t="s">
        <v>895</v>
      </c>
      <c r="D7" s="4"/>
      <c r="E7" s="4"/>
      <c r="F7" s="4"/>
      <c r="G7" s="4"/>
      <c r="H7" s="4"/>
      <c r="I7" s="4"/>
      <c r="J7" s="4"/>
      <c r="K7" s="4"/>
    </row>
    <row r="8" spans="1:11" ht="23.1" customHeight="1">
      <c r="A8" s="1"/>
      <c r="B8" s="4" t="s">
        <v>896</v>
      </c>
      <c r="C8" s="26" t="s">
        <v>905</v>
      </c>
      <c r="D8" s="4"/>
      <c r="E8" s="4"/>
      <c r="F8" s="4"/>
      <c r="G8" s="4"/>
      <c r="H8" s="4"/>
      <c r="I8" s="4"/>
      <c r="J8" s="4"/>
      <c r="K8" s="4"/>
    </row>
    <row r="9" spans="1:11" ht="23.1" customHeight="1">
      <c r="A9" s="1"/>
      <c r="B9" s="4" t="s">
        <v>897</v>
      </c>
      <c r="C9" s="4" t="s">
        <v>898</v>
      </c>
      <c r="D9" s="4"/>
      <c r="E9" s="4"/>
      <c r="F9" s="4"/>
      <c r="G9" s="4"/>
      <c r="H9" s="4"/>
      <c r="I9" s="4"/>
      <c r="J9" s="4"/>
      <c r="K9" s="4"/>
    </row>
    <row r="10" spans="1:11" ht="23.1" customHeight="1">
      <c r="A10" s="1"/>
      <c r="B10" s="4" t="s">
        <v>899</v>
      </c>
      <c r="C10" s="4" t="s">
        <v>900</v>
      </c>
      <c r="D10" s="4"/>
      <c r="E10" s="4"/>
      <c r="F10" s="4"/>
      <c r="G10" s="4"/>
      <c r="H10" s="4"/>
      <c r="I10" s="4"/>
      <c r="J10" s="4"/>
      <c r="K10" s="4"/>
    </row>
    <row r="11" spans="1:11" ht="23.1" customHeight="1">
      <c r="A11" s="1"/>
      <c r="B11" s="4" t="s">
        <v>901</v>
      </c>
      <c r="C11" s="4" t="s">
        <v>902</v>
      </c>
      <c r="D11" s="4"/>
      <c r="E11" s="4"/>
      <c r="F11" s="4"/>
      <c r="G11" s="4"/>
      <c r="H11" s="4"/>
      <c r="I11" s="4"/>
      <c r="J11" s="4"/>
      <c r="K11" s="4"/>
    </row>
    <row r="12" spans="1:11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D6E292-107E-42EF-883E-F766EABC2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Start here</vt:lpstr>
      <vt:lpstr>Clean master</vt:lpstr>
      <vt:lpstr>Needs review</vt:lpstr>
      <vt:lpstr>Import history</vt:lpstr>
      <vt:lpstr>Query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R</cp:lastModifiedBy>
  <dcterms:modified xsi:type="dcterms:W3CDTF">2026-10-17T23:03:04Z</dcterms:modified>
</cp:coreProperties>
</file>